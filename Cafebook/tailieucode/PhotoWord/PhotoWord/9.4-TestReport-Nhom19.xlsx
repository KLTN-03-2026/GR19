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learning\Nhom19_DoAnTotNghiep_2026\File_làm\"/>
    </mc:Choice>
  </mc:AlternateContent>
  <xr:revisionPtr revIDLastSave="0" documentId="13_ncr:1_{B331F365-65DD-42C7-B752-BE8D03FF167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print 1" sheetId="4" r:id="rId1"/>
    <sheet name="Sprint 2" sheetId="2" r:id="rId2"/>
    <sheet name="Sprint 3" sheetId="3" r:id="rId3"/>
  </sheets>
  <definedNames>
    <definedName name="_Hlk213765632" localSheetId="1">'Sprint 2'!$C$20</definedName>
    <definedName name="_Hlk213765632" localSheetId="2">'Sprint 3'!$C$21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3" l="1"/>
  <c r="G22" i="3"/>
  <c r="E22" i="3"/>
  <c r="D22" i="3"/>
  <c r="K21" i="3"/>
  <c r="K20" i="3"/>
  <c r="K19" i="3"/>
  <c r="K18" i="3"/>
  <c r="K17" i="3"/>
  <c r="K16" i="3"/>
  <c r="K15" i="3"/>
  <c r="K14" i="3"/>
  <c r="K13" i="3"/>
  <c r="K12" i="3"/>
  <c r="K11" i="3"/>
  <c r="K10" i="3"/>
  <c r="K21" i="2"/>
  <c r="G21" i="2"/>
  <c r="E21" i="2"/>
  <c r="D21" i="2"/>
  <c r="K23" i="4"/>
  <c r="I23" i="4"/>
  <c r="H23" i="4"/>
  <c r="G23" i="4"/>
  <c r="F23" i="4"/>
  <c r="E23" i="4"/>
  <c r="D23" i="4"/>
</calcChain>
</file>

<file path=xl/sharedStrings.xml><?xml version="1.0" encoding="utf-8"?>
<sst xmlns="http://schemas.openxmlformats.org/spreadsheetml/2006/main" count="114" uniqueCount="60">
  <si>
    <t>TEST REPORT SPRINT 1</t>
  </si>
  <si>
    <t>Project Name</t>
  </si>
  <si>
    <t>XÂY DỰNG HỆ THỐNG QUẢN LÝ VÀ ĐẶT BÀN CAFEBOOK TÍCH HỢP CHATBOT AI HỖ TRỢ TƯ VẤN</t>
  </si>
  <si>
    <t>Creator</t>
  </si>
  <si>
    <t>Nguyễn Minh Tú</t>
  </si>
  <si>
    <t>Project Code</t>
  </si>
  <si>
    <t>Reviewer/Approver</t>
  </si>
  <si>
    <t>Document Code</t>
  </si>
  <si>
    <t>Issue Date</t>
  </si>
  <si>
    <t>Notes</t>
  </si>
  <si>
    <t>ROUND 1</t>
  </si>
  <si>
    <t>ROUND 2</t>
  </si>
  <si>
    <t>No</t>
  </si>
  <si>
    <t>Module code</t>
  </si>
  <si>
    <t>Pass</t>
  </si>
  <si>
    <t>Fail</t>
  </si>
  <si>
    <t>Untested</t>
  </si>
  <si>
    <t>Date</t>
  </si>
  <si>
    <t>Number of test cases</t>
  </si>
  <si>
    <t>Đăng nhập &amp; Đăng xuất  (App)</t>
  </si>
  <si>
    <t>Đăng nhập &amp; Khôi phục MK (Web)</t>
  </si>
  <si>
    <t>Đăng ký thành viên (Web)</t>
  </si>
  <si>
    <t>Quản lý Sản phẩm &amp; Định lượng (App)</t>
  </si>
  <si>
    <t>Quản lý Bàn</t>
  </si>
  <si>
    <t>Khám phá Thực đơn (Web)</t>
  </si>
  <si>
    <t>Đặt bàn trực tuyến (Web)</t>
  </si>
  <si>
    <t>Giỏ hàng &amp; Thanh toán Online (Web)</t>
  </si>
  <si>
    <t>Giao dịch Dịch vụ (App)</t>
  </si>
  <si>
    <t>POS Phục vụ &amp; Thu ngân (App)</t>
  </si>
  <si>
    <t>Màn hình Chế biến  (App)</t>
  </si>
  <si>
    <t>Quản lý Đơn hàng &amp; Phụ thu  (App)</t>
  </si>
  <si>
    <t>Không gian cá nhân KH (Web)</t>
  </si>
  <si>
    <t>Sub total</t>
  </si>
  <si>
    <t>Test successful coverage</t>
  </si>
  <si>
    <t>TEST REPORT SPRINT 2</t>
  </si>
  <si>
    <t xml:space="preserve">Vương Quốc Hưng </t>
  </si>
  <si>
    <t>Quản lý Sách &amp; Danh mục (App)</t>
  </si>
  <si>
    <t>Tra cứu Thư viện sách (Web)</t>
  </si>
  <si>
    <t>Chi tiết Sách &amp; Trạng thái (Web)</t>
  </si>
  <si>
    <t>Thuê &amp; Trả sách (App)</t>
  </si>
  <si>
    <t>Quản lý Nguyên liệu &amp; Quy đổi (App)</t>
  </si>
  <si>
    <t>Quản lý Nhà cung cấp (App)</t>
  </si>
  <si>
    <t>Nhập/Xuất kho (App)</t>
  </si>
  <si>
    <t>Quản lý Tồn kho &amp; Kiểm kho (App)</t>
  </si>
  <si>
    <t>Liên hệ &amp; Góp ý (Web)</t>
  </si>
  <si>
    <t>Chính sách cửa hàng (Web)</t>
  </si>
  <si>
    <t>Đánh giá dịch vụ (Web)</t>
  </si>
  <si>
    <t>TEST REPORT SPRINT 3</t>
  </si>
  <si>
    <t>Trợ lý AI (Chatbot) (Web)</t>
  </si>
  <si>
    <t>Hỗ trợ trực tiếp (Web)</t>
  </si>
  <si>
    <t>Quản lý Nhân sự, Phân quyền &amp; KPI (App)</t>
  </si>
  <si>
    <t>Lịch làm việc &amp; Xin nghỉ (App)</t>
  </si>
  <si>
    <t>Chấm công (App)</t>
  </si>
  <si>
    <t>Quản lý Lương, Chấm công &amp; Thưởng/Phạt (App)</t>
  </si>
  <si>
    <t>Không gian cá nhân (App)</t>
  </si>
  <si>
    <t>Quản lý Khách hàng &amp; Khuyến mãi (App)</t>
  </si>
  <si>
    <t>Cài đặt hệ thống (App)</t>
  </si>
  <si>
    <t>Nhật ký hệ thống (App)</t>
  </si>
  <si>
    <t>Hệ thống Báo cáo (App)</t>
  </si>
  <si>
    <t>Dashboard (Tổng quan) (App)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</si>
</sst>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3"/>
      <name val="Times New Roman"/>
      <charset val="134"/>
    </font>
    <font>
      <sz val="13"/>
      <color rgb="FFFF0000"/>
      <name val="Times New Roman"/>
      <charset val="134"/>
    </font>
    <font>
      <sz val="13"/>
      <color rgb="FF000000"/>
      <name val="Times New Roman"/>
      <charset val="134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1"/>
      <name val="Calibri"/>
      <charset val="134"/>
    </font>
    <font>
      <sz val="13"/>
      <color rgb="FF000000"/>
      <name val="Times New Roman"/>
      <charset val="134"/>
    </font>
    <font>
      <sz val="11"/>
      <color theme="1"/>
      <name val="Calibri"/>
      <charset val="134"/>
      <scheme val="minor"/>
    </font>
    <font>
      <b/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0" fillId="0" borderId="0"/>
  </cellStyleXfs>
  <cellXfs count="8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17" xfId="0" applyFont="1" applyBorder="1"/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0" borderId="18" xfId="0" applyFont="1" applyBorder="1"/>
    <xf numFmtId="0" fontId="1" fillId="2" borderId="1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2" borderId="2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2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2" borderId="25" xfId="0" applyFont="1" applyFill="1" applyBorder="1" applyAlignment="1">
      <alignment vertical="center" wrapText="1"/>
    </xf>
    <xf numFmtId="0" fontId="2" fillId="3" borderId="15" xfId="0" applyFont="1" applyFill="1" applyBorder="1" applyAlignment="1">
      <alignment horizontal="center" vertical="center"/>
    </xf>
    <xf numFmtId="0" fontId="1" fillId="0" borderId="24" xfId="0" applyFont="1" applyBorder="1" applyAlignment="1">
      <alignment vertical="center" wrapText="1"/>
    </xf>
    <xf numFmtId="14" fontId="1" fillId="0" borderId="17" xfId="0" applyNumberFormat="1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14" fontId="5" fillId="0" borderId="15" xfId="0" applyNumberFormat="1" applyFont="1" applyBorder="1" applyAlignment="1">
      <alignment horizontal="center" vertical="center"/>
    </xf>
    <xf numFmtId="14" fontId="1" fillId="0" borderId="17" xfId="0" applyNumberFormat="1" applyFont="1" applyBorder="1" applyAlignment="1">
      <alignment horizontal="center"/>
    </xf>
    <xf numFmtId="0" fontId="10" fillId="0" borderId="0" xfId="1"/>
    <xf numFmtId="0" fontId="6" fillId="0" borderId="1" xfId="1" applyFont="1" applyBorder="1" applyAlignment="1">
      <alignment vertical="center" wrapText="1"/>
    </xf>
    <xf numFmtId="0" fontId="6" fillId="2" borderId="4" xfId="1" applyFont="1" applyFill="1" applyBorder="1" applyAlignment="1">
      <alignment vertical="center" wrapText="1"/>
    </xf>
    <xf numFmtId="0" fontId="6" fillId="0" borderId="5" xfId="1" applyFont="1" applyBorder="1" applyAlignment="1">
      <alignment vertical="center" wrapText="1"/>
    </xf>
    <xf numFmtId="0" fontId="7" fillId="2" borderId="6" xfId="1" applyFont="1" applyFill="1" applyBorder="1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6" fillId="2" borderId="10" xfId="1" applyFont="1" applyFill="1" applyBorder="1" applyAlignment="1">
      <alignment vertical="center" wrapText="1"/>
    </xf>
    <xf numFmtId="0" fontId="6" fillId="2" borderId="11" xfId="1" applyFont="1" applyFill="1" applyBorder="1" applyAlignment="1">
      <alignment vertical="center" wrapText="1"/>
    </xf>
    <xf numFmtId="0" fontId="6" fillId="0" borderId="2" xfId="1" applyFont="1" applyBorder="1" applyAlignment="1">
      <alignment vertical="center" wrapText="1"/>
    </xf>
    <xf numFmtId="0" fontId="7" fillId="3" borderId="17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1" fillId="4" borderId="17" xfId="1" applyFont="1" applyFill="1" applyBorder="1" applyAlignment="1">
      <alignment vertical="center" wrapText="1"/>
    </xf>
    <xf numFmtId="0" fontId="5" fillId="4" borderId="17" xfId="1" applyFont="1" applyFill="1" applyBorder="1" applyAlignment="1">
      <alignment vertical="center" wrapText="1"/>
    </xf>
    <xf numFmtId="0" fontId="6" fillId="3" borderId="17" xfId="1" applyFont="1" applyFill="1" applyBorder="1" applyAlignment="1">
      <alignment vertical="center" wrapText="1"/>
    </xf>
    <xf numFmtId="0" fontId="6" fillId="3" borderId="17" xfId="1" applyNumberFormat="1" applyFont="1" applyFill="1" applyBorder="1" applyAlignment="1">
      <alignment horizontal="center" vertical="center" wrapText="1"/>
    </xf>
    <xf numFmtId="0" fontId="6" fillId="3" borderId="17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6" fillId="0" borderId="23" xfId="1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7" fillId="0" borderId="1" xfId="1" applyFont="1" applyBorder="1" applyAlignment="1">
      <alignment horizontal="left" vertical="center" wrapText="1"/>
    </xf>
    <xf numFmtId="9" fontId="7" fillId="0" borderId="1" xfId="1" applyNumberFormat="1" applyFont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6" fillId="2" borderId="25" xfId="1" applyFont="1" applyFill="1" applyBorder="1" applyAlignment="1">
      <alignment vertical="center" wrapText="1"/>
    </xf>
    <xf numFmtId="0" fontId="7" fillId="3" borderId="17" xfId="1" applyFont="1" applyFill="1" applyBorder="1" applyAlignment="1">
      <alignment horizontal="center" vertical="center"/>
    </xf>
    <xf numFmtId="0" fontId="6" fillId="0" borderId="24" xfId="1" applyFont="1" applyBorder="1" applyAlignment="1">
      <alignment vertical="center" wrapText="1"/>
    </xf>
    <xf numFmtId="14" fontId="9" fillId="4" borderId="17" xfId="1" applyNumberFormat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8" fillId="0" borderId="3" xfId="1" applyFont="1" applyBorder="1"/>
    <xf numFmtId="0" fontId="8" fillId="0" borderId="24" xfId="1" applyFont="1" applyBorder="1"/>
    <xf numFmtId="0" fontId="8" fillId="0" borderId="8" xfId="1" applyFont="1" applyBorder="1"/>
    <xf numFmtId="0" fontId="7" fillId="2" borderId="7" xfId="1" applyFont="1" applyFill="1" applyBorder="1" applyAlignment="1">
      <alignment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6" fillId="0" borderId="7" xfId="1" applyFont="1" applyBorder="1" applyAlignment="1">
      <alignment vertical="center" wrapText="1"/>
    </xf>
    <xf numFmtId="14" fontId="7" fillId="2" borderId="7" xfId="1" applyNumberFormat="1" applyFont="1" applyFill="1" applyBorder="1" applyAlignment="1">
      <alignment horizontal="center" vertical="center" wrapText="1"/>
    </xf>
    <xf numFmtId="0" fontId="8" fillId="0" borderId="9" xfId="1" applyFont="1" applyBorder="1"/>
    <xf numFmtId="0" fontId="7" fillId="3" borderId="26" xfId="1" applyFont="1" applyFill="1" applyBorder="1" applyAlignment="1">
      <alignment horizontal="center" vertical="center" wrapText="1"/>
    </xf>
    <xf numFmtId="0" fontId="8" fillId="0" borderId="27" xfId="1" applyFont="1" applyBorder="1"/>
    <xf numFmtId="0" fontId="8" fillId="0" borderId="19" xfId="1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24" xfId="0" applyFont="1" applyBorder="1"/>
    <xf numFmtId="0" fontId="2" fillId="2" borderId="7" xfId="0" applyFont="1" applyFill="1" applyBorder="1" applyAlignment="1">
      <alignment vertical="center" wrapText="1"/>
    </xf>
    <xf numFmtId="0" fontId="3" fillId="0" borderId="8" xfId="0" applyFont="1" applyBorder="1"/>
    <xf numFmtId="0" fontId="2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0" fontId="3" fillId="0" borderId="9" xfId="0" applyFont="1" applyBorder="1"/>
    <xf numFmtId="0" fontId="2" fillId="3" borderId="12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14" xfId="0" applyFont="1" applyBorder="1"/>
    <xf numFmtId="0" fontId="11" fillId="2" borderId="7" xfId="1" applyFont="1" applyFill="1" applyBorder="1" applyAlignment="1">
      <alignment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abSelected="1" zoomScale="145" zoomScaleNormal="145" workbookViewId="0">
      <selection activeCell="C3" sqref="C3:D3"/>
    </sheetView>
  </sheetViews>
  <sheetFormatPr defaultColWidth="14.42578125" defaultRowHeight="15" customHeight="1"/>
  <cols>
    <col min="1" max="1" width="10" style="38" customWidth="1"/>
    <col min="2" max="2" width="20.42578125" style="38" customWidth="1"/>
    <col min="3" max="3" width="29.28515625" style="38" customWidth="1"/>
    <col min="4" max="4" width="13" style="38" customWidth="1"/>
    <col min="5" max="5" width="14.85546875" style="38" customWidth="1"/>
    <col min="6" max="6" width="14" style="38" customWidth="1"/>
    <col min="7" max="8" width="10" style="38" customWidth="1"/>
    <col min="9" max="9" width="12.28515625" style="38" customWidth="1"/>
    <col min="10" max="10" width="14.28515625" style="38" customWidth="1"/>
    <col min="11" max="11" width="22.28515625" style="38" customWidth="1"/>
    <col min="12" max="26" width="10" style="38" customWidth="1"/>
    <col min="27" max="16384" width="14.42578125" style="38"/>
  </cols>
  <sheetData>
    <row r="1" spans="1:26" ht="14.25" customHeight="1">
      <c r="A1" s="39"/>
      <c r="B1" s="64" t="s">
        <v>0</v>
      </c>
      <c r="C1" s="65"/>
      <c r="D1" s="65"/>
      <c r="E1" s="65"/>
      <c r="F1" s="65"/>
      <c r="G1" s="65"/>
      <c r="H1" s="65"/>
      <c r="I1" s="65"/>
      <c r="J1" s="66"/>
      <c r="K1" s="43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4.25" customHeight="1">
      <c r="A2" s="39"/>
      <c r="B2" s="40"/>
      <c r="C2" s="40"/>
      <c r="D2" s="40"/>
      <c r="E2" s="40"/>
      <c r="F2" s="40"/>
      <c r="G2" s="40"/>
      <c r="H2" s="40"/>
      <c r="I2" s="43"/>
      <c r="J2" s="43"/>
      <c r="K2" s="43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50.25" customHeight="1">
      <c r="A3" s="41"/>
      <c r="B3" s="42" t="s">
        <v>1</v>
      </c>
      <c r="C3" s="88" t="s">
        <v>2</v>
      </c>
      <c r="D3" s="67"/>
      <c r="E3" s="68" t="s">
        <v>3</v>
      </c>
      <c r="F3" s="67"/>
      <c r="G3" s="69" t="s">
        <v>4</v>
      </c>
      <c r="H3" s="67"/>
      <c r="I3" s="39"/>
      <c r="J3" s="39"/>
      <c r="K3" s="43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8" customHeight="1">
      <c r="A4" s="41"/>
      <c r="B4" s="42" t="s">
        <v>5</v>
      </c>
      <c r="C4" s="70"/>
      <c r="D4" s="67"/>
      <c r="E4" s="68" t="s">
        <v>6</v>
      </c>
      <c r="F4" s="67"/>
      <c r="G4" s="70"/>
      <c r="H4" s="67"/>
      <c r="I4" s="39"/>
      <c r="J4" s="39"/>
      <c r="K4" s="43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8" customHeight="1">
      <c r="A5" s="41"/>
      <c r="B5" s="42" t="s">
        <v>7</v>
      </c>
      <c r="C5" s="70"/>
      <c r="D5" s="67"/>
      <c r="E5" s="68" t="s">
        <v>8</v>
      </c>
      <c r="F5" s="67"/>
      <c r="G5" s="71">
        <v>46101</v>
      </c>
      <c r="H5" s="67"/>
      <c r="I5" s="39"/>
      <c r="J5" s="39"/>
      <c r="K5" s="43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8" customHeight="1">
      <c r="A6" s="41"/>
      <c r="B6" s="42" t="s">
        <v>9</v>
      </c>
      <c r="C6" s="70"/>
      <c r="D6" s="72"/>
      <c r="E6" s="72"/>
      <c r="F6" s="72"/>
      <c r="G6" s="72"/>
      <c r="H6" s="67"/>
      <c r="I6" s="39"/>
      <c r="J6" s="39"/>
      <c r="K6" s="43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25" customHeight="1">
      <c r="A7" s="39"/>
      <c r="B7" s="43"/>
      <c r="C7" s="43"/>
      <c r="D7" s="44"/>
      <c r="E7" s="44"/>
      <c r="F7" s="44"/>
      <c r="G7" s="44"/>
      <c r="H7" s="44"/>
      <c r="I7" s="44"/>
      <c r="J7" s="43"/>
      <c r="K7" s="43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8" customHeight="1">
      <c r="A8" s="39"/>
      <c r="B8" s="44"/>
      <c r="C8" s="45"/>
      <c r="D8" s="73" t="s">
        <v>10</v>
      </c>
      <c r="E8" s="74"/>
      <c r="F8" s="75"/>
      <c r="G8" s="73" t="s">
        <v>11</v>
      </c>
      <c r="H8" s="74"/>
      <c r="I8" s="75"/>
      <c r="J8" s="60"/>
      <c r="K8" s="44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6.5">
      <c r="A9" s="46"/>
      <c r="B9" s="47" t="s">
        <v>12</v>
      </c>
      <c r="C9" s="47" t="s">
        <v>13</v>
      </c>
      <c r="D9" s="47" t="s">
        <v>14</v>
      </c>
      <c r="E9" s="47" t="s">
        <v>15</v>
      </c>
      <c r="F9" s="47" t="s">
        <v>16</v>
      </c>
      <c r="G9" s="47" t="s">
        <v>14</v>
      </c>
      <c r="H9" s="47" t="s">
        <v>15</v>
      </c>
      <c r="I9" s="47" t="s">
        <v>16</v>
      </c>
      <c r="J9" s="47" t="s">
        <v>17</v>
      </c>
      <c r="K9" s="61" t="s">
        <v>18</v>
      </c>
      <c r="L9" s="62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33">
      <c r="A10" s="46"/>
      <c r="B10" s="48">
        <v>1</v>
      </c>
      <c r="C10" s="49" t="s">
        <v>19</v>
      </c>
      <c r="D10" s="48">
        <v>21</v>
      </c>
      <c r="E10" s="48">
        <v>1</v>
      </c>
      <c r="F10" s="48">
        <v>0</v>
      </c>
      <c r="G10" s="48">
        <v>22</v>
      </c>
      <c r="H10" s="48">
        <v>0</v>
      </c>
      <c r="I10" s="48">
        <v>0</v>
      </c>
      <c r="J10" s="63">
        <v>46101</v>
      </c>
      <c r="K10" s="48">
        <v>22</v>
      </c>
      <c r="L10" s="62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33">
      <c r="A11" s="46"/>
      <c r="B11" s="48">
        <v>2</v>
      </c>
      <c r="C11" s="49" t="s">
        <v>20</v>
      </c>
      <c r="D11" s="48">
        <v>17</v>
      </c>
      <c r="E11" s="48">
        <v>17</v>
      </c>
      <c r="F11" s="48">
        <v>0</v>
      </c>
      <c r="G11" s="48">
        <v>34</v>
      </c>
      <c r="H11" s="48">
        <v>0</v>
      </c>
      <c r="I11" s="48">
        <v>0</v>
      </c>
      <c r="J11" s="63">
        <v>46102</v>
      </c>
      <c r="K11" s="48">
        <v>34</v>
      </c>
      <c r="L11" s="62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6.5">
      <c r="A12" s="46"/>
      <c r="B12" s="48">
        <v>3</v>
      </c>
      <c r="C12" s="50" t="s">
        <v>21</v>
      </c>
      <c r="D12" s="48">
        <v>9</v>
      </c>
      <c r="E12" s="48">
        <v>14</v>
      </c>
      <c r="F12" s="48">
        <v>0</v>
      </c>
      <c r="G12" s="48">
        <v>23</v>
      </c>
      <c r="H12" s="48">
        <v>0</v>
      </c>
      <c r="I12" s="48">
        <v>0</v>
      </c>
      <c r="J12" s="63">
        <v>46103</v>
      </c>
      <c r="K12" s="48">
        <v>23</v>
      </c>
      <c r="L12" s="62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33">
      <c r="A13" s="46"/>
      <c r="B13" s="48">
        <v>4</v>
      </c>
      <c r="C13" s="50" t="s">
        <v>22</v>
      </c>
      <c r="D13" s="48">
        <v>57</v>
      </c>
      <c r="E13" s="48">
        <v>6</v>
      </c>
      <c r="F13" s="48">
        <v>0</v>
      </c>
      <c r="G13" s="48">
        <v>63</v>
      </c>
      <c r="H13" s="48">
        <v>0</v>
      </c>
      <c r="I13" s="48">
        <v>0</v>
      </c>
      <c r="J13" s="63">
        <v>46104</v>
      </c>
      <c r="K13" s="48">
        <v>63</v>
      </c>
      <c r="L13" s="62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6.5">
      <c r="A14" s="46"/>
      <c r="B14" s="48">
        <v>5</v>
      </c>
      <c r="C14" s="49" t="s">
        <v>23</v>
      </c>
      <c r="D14" s="48">
        <v>60</v>
      </c>
      <c r="E14" s="48">
        <v>5</v>
      </c>
      <c r="F14" s="48">
        <v>0</v>
      </c>
      <c r="G14" s="48">
        <v>65</v>
      </c>
      <c r="H14" s="48">
        <v>0</v>
      </c>
      <c r="I14" s="48">
        <v>0</v>
      </c>
      <c r="J14" s="63">
        <v>46105</v>
      </c>
      <c r="K14" s="48">
        <v>65</v>
      </c>
      <c r="L14" s="62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6.5">
      <c r="A15" s="46"/>
      <c r="B15" s="48">
        <v>6</v>
      </c>
      <c r="C15" s="49" t="s">
        <v>24</v>
      </c>
      <c r="D15" s="48">
        <v>8</v>
      </c>
      <c r="E15" s="48">
        <v>4</v>
      </c>
      <c r="F15" s="48">
        <v>0</v>
      </c>
      <c r="G15" s="48">
        <v>12</v>
      </c>
      <c r="H15" s="48">
        <v>0</v>
      </c>
      <c r="I15" s="48">
        <v>0</v>
      </c>
      <c r="J15" s="63">
        <v>46106</v>
      </c>
      <c r="K15" s="48">
        <v>12</v>
      </c>
      <c r="L15" s="62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6.5">
      <c r="A16" s="46"/>
      <c r="B16" s="48">
        <v>7</v>
      </c>
      <c r="C16" s="49" t="s">
        <v>25</v>
      </c>
      <c r="D16" s="48">
        <v>18</v>
      </c>
      <c r="E16" s="48">
        <v>5</v>
      </c>
      <c r="F16" s="48">
        <v>0</v>
      </c>
      <c r="G16" s="48">
        <v>23</v>
      </c>
      <c r="H16" s="48">
        <v>0</v>
      </c>
      <c r="I16" s="48">
        <v>0</v>
      </c>
      <c r="J16" s="63">
        <v>46107</v>
      </c>
      <c r="K16" s="48">
        <v>23</v>
      </c>
      <c r="L16" s="62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33">
      <c r="A17" s="46"/>
      <c r="B17" s="48">
        <v>8</v>
      </c>
      <c r="C17" s="49" t="s">
        <v>26</v>
      </c>
      <c r="D17" s="48">
        <v>21</v>
      </c>
      <c r="E17" s="48">
        <v>11</v>
      </c>
      <c r="F17" s="48">
        <v>0</v>
      </c>
      <c r="G17" s="48">
        <v>32</v>
      </c>
      <c r="H17" s="48">
        <v>0</v>
      </c>
      <c r="I17" s="48">
        <v>0</v>
      </c>
      <c r="J17" s="63">
        <v>46109</v>
      </c>
      <c r="K17" s="48">
        <v>32</v>
      </c>
      <c r="L17" s="62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6.5">
      <c r="A18" s="46"/>
      <c r="B18" s="48">
        <v>9</v>
      </c>
      <c r="C18" s="49" t="s">
        <v>27</v>
      </c>
      <c r="D18" s="48">
        <v>41</v>
      </c>
      <c r="E18" s="48">
        <v>19</v>
      </c>
      <c r="F18" s="48">
        <v>0</v>
      </c>
      <c r="G18" s="48">
        <v>60</v>
      </c>
      <c r="H18" s="48">
        <v>0</v>
      </c>
      <c r="I18" s="48">
        <v>0</v>
      </c>
      <c r="J18" s="63">
        <v>46110</v>
      </c>
      <c r="K18" s="48">
        <v>60</v>
      </c>
      <c r="L18" s="62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33">
      <c r="A19" s="46"/>
      <c r="B19" s="48">
        <v>10</v>
      </c>
      <c r="C19" s="49" t="s">
        <v>28</v>
      </c>
      <c r="D19" s="48">
        <v>29</v>
      </c>
      <c r="E19" s="48">
        <v>16</v>
      </c>
      <c r="F19" s="48">
        <v>0</v>
      </c>
      <c r="G19" s="48">
        <v>45</v>
      </c>
      <c r="H19" s="48">
        <v>0</v>
      </c>
      <c r="I19" s="48">
        <v>0</v>
      </c>
      <c r="J19" s="63">
        <v>46112</v>
      </c>
      <c r="K19" s="48">
        <v>45</v>
      </c>
      <c r="L19" s="62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6.5">
      <c r="A20" s="46"/>
      <c r="B20" s="48">
        <v>11</v>
      </c>
      <c r="C20" s="49" t="s">
        <v>29</v>
      </c>
      <c r="D20" s="48">
        <v>6</v>
      </c>
      <c r="E20" s="48">
        <v>5</v>
      </c>
      <c r="F20" s="48">
        <v>0</v>
      </c>
      <c r="G20" s="48">
        <v>11</v>
      </c>
      <c r="H20" s="48">
        <v>0</v>
      </c>
      <c r="I20" s="48">
        <v>0</v>
      </c>
      <c r="J20" s="63">
        <v>46113</v>
      </c>
      <c r="K20" s="48">
        <v>11</v>
      </c>
      <c r="L20" s="62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33">
      <c r="A21" s="46"/>
      <c r="B21" s="48">
        <v>12</v>
      </c>
      <c r="C21" s="49" t="s">
        <v>30</v>
      </c>
      <c r="D21" s="48">
        <v>44</v>
      </c>
      <c r="E21" s="48">
        <v>3</v>
      </c>
      <c r="F21" s="48">
        <v>0</v>
      </c>
      <c r="G21" s="48">
        <v>47</v>
      </c>
      <c r="H21" s="48">
        <v>0</v>
      </c>
      <c r="I21" s="48">
        <v>0</v>
      </c>
      <c r="J21" s="63">
        <v>46114</v>
      </c>
      <c r="K21" s="48">
        <v>47</v>
      </c>
      <c r="L21" s="62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33">
      <c r="A22" s="46"/>
      <c r="B22" s="48">
        <v>13</v>
      </c>
      <c r="C22" s="49" t="s">
        <v>31</v>
      </c>
      <c r="D22" s="48">
        <v>16</v>
      </c>
      <c r="E22" s="48">
        <v>14</v>
      </c>
      <c r="F22" s="48">
        <v>0</v>
      </c>
      <c r="G22" s="48">
        <v>30</v>
      </c>
      <c r="H22" s="48">
        <v>0</v>
      </c>
      <c r="I22" s="48">
        <v>0</v>
      </c>
      <c r="J22" s="63">
        <v>46115</v>
      </c>
      <c r="K22" s="48">
        <v>30</v>
      </c>
      <c r="L22" s="62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6.5">
      <c r="A23" s="46"/>
      <c r="B23" s="51"/>
      <c r="C23" s="47" t="s">
        <v>32</v>
      </c>
      <c r="D23" s="52">
        <f>SUM(D10:D22)</f>
        <v>347</v>
      </c>
      <c r="E23" s="52">
        <f>SUM(E10:E22)</f>
        <v>120</v>
      </c>
      <c r="F23" s="53">
        <f t="shared" ref="F23:I23" si="0">SUM(F10:F22)</f>
        <v>0</v>
      </c>
      <c r="G23" s="53">
        <f t="shared" si="0"/>
        <v>467</v>
      </c>
      <c r="H23" s="53">
        <f t="shared" si="0"/>
        <v>0</v>
      </c>
      <c r="I23" s="53">
        <f t="shared" si="0"/>
        <v>0</v>
      </c>
      <c r="J23" s="53"/>
      <c r="K23" s="52">
        <f>SUM(K10:K22)</f>
        <v>467</v>
      </c>
      <c r="L23" s="62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8" customHeight="1">
      <c r="A24" s="46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62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8" customHeight="1">
      <c r="A25" s="46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62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8" customHeight="1">
      <c r="A26" s="46"/>
      <c r="B26" s="39"/>
      <c r="C26" s="56" t="s">
        <v>33</v>
      </c>
      <c r="D26" s="57" t="s">
        <v>10</v>
      </c>
      <c r="E26" s="58">
        <v>1</v>
      </c>
      <c r="F26" s="56"/>
      <c r="G26" s="39"/>
      <c r="H26" s="39"/>
      <c r="I26" s="39"/>
      <c r="J26" s="39"/>
      <c r="K26" s="39"/>
      <c r="L26" s="62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8" customHeight="1">
      <c r="A27" s="39"/>
      <c r="B27" s="39"/>
      <c r="C27" s="39"/>
      <c r="D27" s="57" t="s">
        <v>11</v>
      </c>
      <c r="E27" s="58">
        <v>1</v>
      </c>
      <c r="F27" s="56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8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8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4.2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4.2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4.2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4.2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4.2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4.2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4.2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4.2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4.2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4.2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4.2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4.2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4.2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4.2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4.2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4.2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4.2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4.2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4.2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4.2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4.2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4.2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4.2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4.2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4.2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4.2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4.2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4.2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4.2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4.2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4.2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4.2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4.2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4.2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4.2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4.2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4.2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4.2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4.2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4.2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4.2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4.2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4.2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4.2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4.2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4.2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4.2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4.2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4.2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4.2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4.2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4.2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4.2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4.2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4.2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4.2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4.2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4.2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4.2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4.2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4.2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4.2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4.2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4.2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4.2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4.2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4.2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4.2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4.2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4.2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4.2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4.2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4.2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4.2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4.2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4.2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4.2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4.2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4.2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4.2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4.2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4.2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4.2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4.2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4.2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4.2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4.2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4.2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4.2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4.2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4.2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4.2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4.2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4.2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4.2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4.2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4.2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4.2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4.2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4.2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4.2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4.2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4.2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4.2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4.2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4.2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4.2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4.2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4.2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4.2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4.2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4.2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4.2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4.2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4.2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4.2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4.2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4.2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4.2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4.2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4.2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4.2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4.2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4.2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4.2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4.2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4.2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4.2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4.2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4.2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4.2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4.2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4.2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4.2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4.2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4.2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4.2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4.2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4.2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4.2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4.2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4.2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4.2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4.2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4.2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4.2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4.2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4.2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4.2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4.2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4.2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4.2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4.2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4.2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4.2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4.2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4.2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4.2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4.2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4.2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4.2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4.2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4.2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4.2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4.2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4.2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4.2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4.2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4.2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4.2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4.2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4.2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4.2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4.2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4.2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4.2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4.2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4.2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4.2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4.2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4.2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4.2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4.2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4.2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4.2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4.2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4.2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4.2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4.2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4.2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4.2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4.2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4.2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4.2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4.2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4.2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4.2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4.2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4.2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4.2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6.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ht="16.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ht="16.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ht="16.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ht="16.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 ht="16.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 ht="16.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 ht="16.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 ht="16.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 ht="16.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 ht="16.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 ht="16.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 ht="16.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 ht="16.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 ht="16.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 ht="16.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 ht="16.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 ht="16.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spans="1:26" ht="16.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spans="1:26" ht="16.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spans="1:26" ht="16.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spans="1:26" ht="16.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spans="1:26" ht="16.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spans="1:26" ht="16.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spans="1:26" ht="16.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spans="1:26" ht="16.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spans="1:26" ht="16.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spans="1:26" ht="16.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spans="1:26" ht="16.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spans="1:26" ht="16.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spans="1:26" ht="16.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spans="1:26" ht="16.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spans="1:26" ht="16.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spans="1:26" ht="16.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spans="1:26" ht="16.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spans="1:26" ht="16.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spans="1:26" ht="16.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spans="1:26" ht="16.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spans="1:26" ht="16.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spans="1:26" ht="16.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spans="1:26" ht="16.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spans="1:26" ht="16.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spans="1:26" ht="16.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spans="1:26" ht="16.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spans="1:26" ht="16.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spans="1:26" ht="16.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spans="1:26" ht="16.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spans="1:26" ht="16.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spans="1:26" ht="16.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spans="1:26" ht="16.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spans="1:26" ht="16.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spans="1:26" ht="16.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spans="1:26" ht="16.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spans="1:26" ht="16.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spans="1:26" ht="16.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spans="1:26" ht="16.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spans="1:26" ht="16.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spans="1:26" ht="16.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spans="1:26" ht="16.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spans="1:26" ht="16.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spans="1:26" ht="16.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spans="1:26" ht="16.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spans="1:26" ht="16.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spans="1:26" ht="16.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spans="1:26" ht="16.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spans="1:26" ht="16.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spans="1:26" ht="16.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spans="1:26" ht="16.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spans="1:26" ht="16.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spans="1:26" ht="16.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spans="1:26" ht="16.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spans="1:26" ht="16.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spans="1:26" ht="16.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spans="1:26" ht="16.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spans="1:26" ht="16.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spans="1:26" ht="16.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spans="1:26" ht="16.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spans="1:26" ht="16.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spans="1:26" ht="16.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spans="1:26" ht="16.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spans="1:26" ht="16.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spans="1:26" ht="16.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spans="1:26" ht="16.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spans="1:26" ht="16.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spans="1:26" ht="16.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spans="1:26" ht="16.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spans="1:26" ht="16.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spans="1:26" ht="16.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spans="1:26" ht="16.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spans="1:26" ht="16.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spans="1:26" ht="16.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spans="1:26" ht="16.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spans="1:26" ht="16.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spans="1:26" ht="16.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spans="1:26" ht="16.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spans="1:26" ht="16.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spans="1:26" ht="16.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spans="1:26" ht="16.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spans="1:26" ht="16.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spans="1:26" ht="16.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spans="1:26" ht="16.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spans="1:26" ht="16.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spans="1:26" ht="16.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spans="1:26" ht="16.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spans="1:26" ht="16.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spans="1:26" ht="16.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spans="1:26" ht="16.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spans="1:26" ht="16.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spans="1:26" ht="16.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spans="1:26" ht="16.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spans="1:26" ht="16.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spans="1:26" ht="16.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spans="1:26" ht="16.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spans="1:26" ht="16.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spans="1:26" ht="16.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spans="1:26" ht="16.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spans="1:26" ht="16.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spans="1:26" ht="16.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spans="1:26" ht="16.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spans="1:26" ht="16.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spans="1:26" ht="16.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spans="1:26" ht="16.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spans="1:26" ht="16.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spans="1:26" ht="16.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spans="1:26" ht="16.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spans="1:26" ht="16.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spans="1:26" ht="16.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spans="1:26" ht="16.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spans="1:26" ht="16.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spans="1:26" ht="16.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spans="1:26" ht="16.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spans="1:26" ht="16.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spans="1:26" ht="16.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spans="1:26" ht="16.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spans="1:26" ht="16.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spans="1:26" ht="16.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spans="1:26" ht="16.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spans="1:26" ht="16.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spans="1:26" ht="16.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spans="1:26" ht="16.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spans="1:26" ht="16.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spans="1:26" ht="16.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spans="1:26" ht="16.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spans="1:26" ht="16.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spans="1:26" ht="16.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spans="1:26" ht="16.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spans="1:26" ht="16.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spans="1:26" ht="16.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spans="1:26" ht="16.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spans="1:26" ht="16.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spans="1:26" ht="16.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spans="1:26" ht="16.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spans="1:26" ht="16.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spans="1:26" ht="16.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spans="1:26" ht="16.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spans="1:26" ht="16.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spans="1:26" ht="16.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spans="1:26" ht="16.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spans="1:26" ht="16.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spans="1:26" ht="16.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spans="1:26" ht="16.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spans="1:26" ht="16.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spans="1:26" ht="16.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spans="1:26" ht="16.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spans="1:26" ht="16.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spans="1:26" ht="16.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spans="1:26" ht="16.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spans="1:26" ht="16.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spans="1:26" ht="16.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spans="1:26" ht="16.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spans="1:26" ht="16.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spans="1:26" ht="16.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spans="1:26" ht="16.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spans="1:26" ht="16.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spans="1:26" ht="16.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spans="1:26" ht="16.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spans="1:26" ht="16.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spans="1:26" ht="16.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spans="1:26" ht="16.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spans="1:26" ht="16.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spans="1:26" ht="16.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spans="1:26" ht="16.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spans="1:26" ht="16.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spans="1:26" ht="16.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spans="1:26" ht="16.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spans="1:26" ht="16.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spans="1:26" ht="16.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spans="1:26" ht="16.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spans="1:26" ht="16.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spans="1:26" ht="16.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spans="1:26" ht="16.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spans="1:26" ht="16.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spans="1:26" ht="16.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spans="1:26" ht="16.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spans="1:26" ht="16.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spans="1:26" ht="16.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spans="1:26" ht="16.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spans="1:26" ht="16.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spans="1:26" ht="16.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spans="1:26" ht="16.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spans="1:26" ht="16.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spans="1:26" ht="16.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spans="1:26" ht="16.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spans="1:26" ht="16.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spans="1:26" ht="16.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spans="1:26" ht="16.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spans="1:26" ht="16.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spans="1:26" ht="16.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spans="1:26" ht="16.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spans="1:26" ht="16.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spans="1:26" ht="16.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spans="1:26" ht="16.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spans="1:26" ht="16.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spans="1:26" ht="16.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spans="1:26" ht="16.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spans="1:26" ht="16.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spans="1:26" ht="16.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spans="1:26" ht="16.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spans="1:26" ht="16.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spans="1:26" ht="16.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spans="1:26" ht="16.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spans="1:26" ht="16.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spans="1:26" ht="16.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spans="1:26" ht="16.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spans="1:26" ht="16.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spans="1:26" ht="16.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spans="1:26" ht="16.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spans="1:26" ht="16.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spans="1:26" ht="16.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spans="1:26" ht="16.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spans="1:26" ht="16.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spans="1:26" ht="16.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spans="1:26" ht="16.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spans="1:26" ht="16.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spans="1:26" ht="16.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spans="1:26" ht="16.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spans="1:26" ht="16.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spans="1:26" ht="16.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spans="1:26" ht="16.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spans="1:26" ht="16.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spans="1:26" ht="16.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spans="1:26" ht="16.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spans="1:26" ht="16.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spans="1:26" ht="16.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spans="1:26" ht="16.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spans="1:26" ht="16.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spans="1:26" ht="16.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spans="1:26" ht="16.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spans="1:26" ht="16.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spans="1:26" ht="16.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spans="1:26" ht="16.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spans="1:26" ht="16.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spans="1:26" ht="16.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spans="1:26" ht="16.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spans="1:26" ht="16.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spans="1:26" ht="16.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spans="1:26" ht="16.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spans="1:26" ht="16.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spans="1:26" ht="16.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spans="1:26" ht="16.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spans="1:26" ht="16.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spans="1:26" ht="16.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spans="1:26" ht="16.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spans="1:26" ht="16.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spans="1:26" ht="16.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spans="1:26" ht="16.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spans="1:26" ht="16.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spans="1:26" ht="16.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spans="1:26" ht="16.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spans="1:26" ht="16.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spans="1:26" ht="16.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spans="1:26" ht="16.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spans="1:26" ht="16.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spans="1:26" ht="16.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spans="1:26" ht="16.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spans="1:26" ht="16.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spans="1:26" ht="16.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spans="1:26" ht="16.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spans="1:26" ht="16.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spans="1:26" ht="16.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spans="1:26" ht="16.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spans="1:26" ht="16.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spans="1:26" ht="16.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spans="1:26" ht="16.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spans="1:26" ht="16.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spans="1:26" ht="16.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spans="1:26" ht="16.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spans="1:26" ht="16.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spans="1:26" ht="16.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spans="1:26" ht="16.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spans="1:26" ht="16.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spans="1:26" ht="16.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spans="1:26" ht="16.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spans="1:26" ht="16.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spans="1:26" ht="16.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spans="1:26" ht="16.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spans="1:26" ht="16.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spans="1:26" ht="16.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spans="1:26" ht="16.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spans="1:26" ht="16.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spans="1:26" ht="16.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spans="1:26" ht="16.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spans="1:26" ht="16.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spans="1:26" ht="16.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spans="1:26" ht="16.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spans="1:26" ht="16.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spans="1:26" ht="16.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spans="1:26" ht="16.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spans="1:26" ht="16.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spans="1:26" ht="16.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spans="1:26" ht="16.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spans="1:26" ht="16.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spans="1:26" ht="16.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spans="1:26" ht="16.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spans="1:26" ht="16.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spans="1:26" ht="16.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spans="1:26" ht="16.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spans="1:26" ht="16.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spans="1:26" ht="16.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spans="1:26" ht="16.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spans="1:26" ht="16.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spans="1:26" ht="16.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spans="1:26" ht="16.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spans="1:26" ht="16.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spans="1:26" ht="16.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spans="1:26" ht="16.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spans="1:26" ht="16.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spans="1:26" ht="16.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spans="1:26" ht="16.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spans="1:26" ht="16.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spans="1:26" ht="16.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spans="1:26" ht="16.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spans="1:26" ht="16.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spans="1:26" ht="16.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spans="1:26" ht="16.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spans="1:26" ht="16.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spans="1:26" ht="16.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spans="1:26" ht="16.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spans="1:26" ht="16.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spans="1:26" ht="16.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spans="1:26" ht="16.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spans="1:26" ht="16.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spans="1:26" ht="16.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spans="1:26" ht="16.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spans="1:26" ht="16.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spans="1:26" ht="16.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spans="1:26" ht="16.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spans="1:26" ht="16.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spans="1:26" ht="16.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spans="1:26" ht="16.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spans="1:26" ht="16.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spans="1:26" ht="16.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spans="1:26" ht="16.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spans="1:26" ht="16.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spans="1:26" ht="16.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spans="1:26" ht="16.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spans="1:26" ht="16.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spans="1:26" ht="16.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spans="1:26" ht="16.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spans="1:26" ht="16.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spans="1:26" ht="16.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spans="1:26" ht="16.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spans="1:26" ht="16.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spans="1:26" ht="16.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spans="1:26" ht="16.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spans="1:26" ht="16.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spans="1:26" ht="16.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spans="1:26" ht="16.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spans="1:26" ht="16.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spans="1:26" ht="16.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spans="1:26" ht="16.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spans="1:26" ht="16.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spans="1:26" ht="16.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spans="1:26" ht="16.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spans="1:26" ht="16.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spans="1:26" ht="16.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spans="1:26" ht="16.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spans="1:26" ht="16.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spans="1:26" ht="16.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spans="1:26" ht="16.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spans="1:26" ht="16.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spans="1:26" ht="16.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spans="1:26" ht="16.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spans="1:26" ht="16.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spans="1:26" ht="16.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spans="1:26" ht="16.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spans="1:26" ht="16.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spans="1:26" ht="16.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spans="1:26" ht="16.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spans="1:26" ht="16.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spans="1:26" ht="16.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spans="1:26" ht="16.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spans="1:26" ht="16.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spans="1:26" ht="16.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spans="1:26" ht="16.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spans="1:26" ht="16.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spans="1:26" ht="16.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spans="1:26" ht="16.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spans="1:26" ht="16.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spans="1:26" ht="16.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spans="1:26" ht="16.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spans="1:26" ht="16.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spans="1:26" ht="16.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spans="1:26" ht="16.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spans="1:26" ht="16.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spans="1:26" ht="16.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spans="1:26" ht="16.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spans="1:26" ht="16.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spans="1:26" ht="16.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spans="1:26" ht="16.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spans="1:26" ht="16.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spans="1:26" ht="16.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spans="1:26" ht="16.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spans="1:26" ht="16.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spans="1:26" ht="16.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spans="1:26" ht="16.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spans="1:26" ht="16.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spans="1:26" ht="16.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spans="1:26" ht="16.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spans="1:26" ht="16.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spans="1:26" ht="16.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spans="1:26" ht="16.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spans="1:26" ht="16.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spans="1:26" ht="16.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spans="1:26" ht="16.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spans="1:26" ht="16.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spans="1:26" ht="16.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spans="1:26" ht="16.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spans="1:26" ht="16.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spans="1:26" ht="16.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spans="1:26" ht="16.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spans="1:26" ht="16.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spans="1:26" ht="16.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spans="1:26" ht="16.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spans="1:26" ht="16.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spans="1:26" ht="16.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spans="1:26" ht="16.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spans="1:26" ht="16.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spans="1:26" ht="16.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spans="1:26" ht="16.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spans="1:26" ht="16.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spans="1:26" ht="16.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spans="1:26" ht="16.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spans="1:26" ht="16.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spans="1:26" ht="16.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spans="1:26" ht="16.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spans="1:26" ht="16.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spans="1:26" ht="16.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spans="1:26" ht="16.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spans="1:26" ht="16.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spans="1:26" ht="16.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spans="1:26" ht="16.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spans="1:26" ht="16.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spans="1:26" ht="16.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spans="1:26" ht="16.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spans="1:26" ht="16.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spans="1:26" ht="16.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spans="1:26" ht="16.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spans="1:26" ht="16.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spans="1:26" ht="16.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spans="1:26" ht="16.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spans="1:26" ht="16.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spans="1:26" ht="16.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spans="1:26" ht="16.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spans="1:26" ht="16.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spans="1:26" ht="16.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spans="1:26" ht="16.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spans="1:26" ht="16.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spans="1:26" ht="16.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spans="1:26" ht="16.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spans="1:26" ht="16.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spans="1:26" ht="16.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spans="1:26" ht="16.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spans="1:26" ht="16.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spans="1:26" ht="16.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spans="1:26" ht="16.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spans="1:26" ht="16.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spans="1:26" ht="16.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spans="1:26" ht="16.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spans="1:26" ht="16.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spans="1:26" ht="16.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spans="1:26" ht="16.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spans="1:26" ht="16.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spans="1:26" ht="16.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spans="1:26" ht="16.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spans="1:26" ht="16.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spans="1:26" ht="16.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spans="1:26" ht="16.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spans="1:26" ht="16.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spans="1:26" ht="16.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spans="1:26" ht="16.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spans="1:26" ht="16.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spans="1:26" ht="16.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spans="1:26" ht="16.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spans="1:26" ht="16.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spans="1:26" ht="16.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spans="1:26" ht="16.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spans="1:26" ht="16.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spans="1:26" ht="16.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spans="1:26" ht="16.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spans="1:26" ht="16.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spans="1:26" ht="16.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spans="1:26" ht="16.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spans="1:26" ht="16.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spans="1:26" ht="16.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spans="1:26" ht="16.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spans="1:26" ht="16.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spans="1:26" ht="16.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spans="1:26" ht="16.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spans="1:26" ht="16.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spans="1:26" ht="16.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spans="1:26" ht="16.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spans="1:26" ht="16.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spans="1:26" ht="16.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spans="1:26" ht="16.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spans="1:26" ht="16.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spans="1:26" ht="16.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spans="1:26" ht="16.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spans="1:26" ht="16.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spans="1:26" ht="16.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spans="1:26" ht="16.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spans="1:26" ht="16.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spans="1:26" ht="16.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spans="1:26" ht="16.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spans="1:26" ht="16.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spans="1:26" ht="16.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spans="1:26" ht="16.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spans="1:26" ht="16.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spans="1:26" ht="16.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spans="1:26" ht="16.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spans="1:26" ht="16.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spans="1:26" ht="16.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spans="1:26" ht="16.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spans="1:26" ht="16.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spans="1:26" ht="16.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spans="1:26" ht="16.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spans="1:26" ht="16.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spans="1:26" ht="16.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spans="1:26" ht="16.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spans="1:26" ht="16.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spans="1:26" ht="16.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spans="1:26" ht="16.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spans="1:26" ht="16.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spans="1:26" ht="16.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spans="1:26" ht="16.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spans="1:26" ht="16.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spans="1:26" ht="16.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spans="1:26" ht="16.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spans="1:26" ht="16.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spans="1:26" ht="16.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spans="1:26" ht="16.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spans="1:26" ht="16.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spans="1:26" ht="16.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spans="1:26" ht="16.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spans="1:26" ht="16.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spans="1:26" ht="16.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spans="1:26" ht="16.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spans="1:26" ht="16.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spans="1:26" ht="16.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spans="1:26" ht="16.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spans="1:26" ht="16.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spans="1:26" ht="16.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spans="1:26" ht="16.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spans="1:26" ht="16.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spans="1:26" ht="16.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spans="1:26" ht="16.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spans="1:26" ht="16.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spans="1:26" ht="16.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spans="1:26" ht="16.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spans="1:26" ht="16.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spans="1:26" ht="16.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spans="1:26" ht="16.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spans="1:26" ht="16.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spans="1:26" ht="16.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spans="1:26" ht="16.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spans="1:26" ht="16.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spans="1:26" ht="16.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spans="1:26" ht="16.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spans="1:26" ht="16.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spans="1:26" ht="16.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spans="1:26" ht="16.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spans="1:26" ht="16.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spans="1:26" ht="16.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spans="1:26" ht="16.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spans="1:26" ht="16.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spans="1:26" ht="16.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spans="1:26" ht="16.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spans="1:26" ht="16.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spans="1:26" ht="16.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spans="1:26" ht="16.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spans="1:26" ht="16.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spans="1:26" ht="16.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spans="1:26" ht="16.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spans="1:26" ht="16.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spans="1:26" ht="16.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spans="1:26" ht="16.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spans="1:26" ht="16.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spans="1:26" ht="16.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spans="1:26" ht="16.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spans="1:26" ht="16.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spans="1:26" ht="16.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spans="1:26" ht="16.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spans="1:26" ht="16.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spans="1:26" ht="16.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spans="1:26" ht="16.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spans="1:26" ht="16.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spans="1:26" ht="16.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spans="1:26" ht="16.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spans="1:26" ht="16.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spans="1:26" ht="16.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spans="1:26" ht="16.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spans="1:26" ht="16.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spans="1:26" ht="16.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spans="1:26" ht="16.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spans="1:26" ht="16.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spans="1:26" ht="16.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spans="1:26" ht="16.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spans="1:26" ht="16.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spans="1:26" ht="16.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spans="1:26" ht="16.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spans="1:26" ht="16.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spans="1:26" ht="16.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spans="1:26" ht="16.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spans="1:26" ht="16.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spans="1:26" ht="16.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spans="1:26" ht="16.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spans="1:26" ht="16.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spans="1:26" ht="16.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spans="1:26" ht="16.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spans="1:26" ht="16.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spans="1:26" ht="16.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spans="1:26" ht="16.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spans="1:26" ht="16.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spans="1:26" ht="16.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spans="1:26" ht="16.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spans="1:26" ht="16.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spans="1:26" ht="16.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spans="1:26" ht="16.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spans="1:26" ht="16.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spans="1:26" ht="16.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spans="1:26" ht="16.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spans="1:26" ht="16.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spans="1:26" ht="16.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spans="1:26" ht="16.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spans="1:26" ht="16.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spans="1:26" ht="16.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spans="1:26" ht="16.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spans="1:26" ht="16.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spans="1:26" ht="16.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spans="1:26" ht="16.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spans="1:26" ht="16.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spans="1:26" ht="16.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spans="1:26" ht="16.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spans="1:26" ht="16.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spans="1:26" ht="16.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spans="1:26" ht="16.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spans="1:26" ht="16.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spans="1:26" ht="16.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spans="1:26" ht="16.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spans="1:26" ht="16.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spans="1:26" ht="16.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spans="1:26" ht="16.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spans="1:26" ht="16.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spans="1:26" ht="16.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spans="1:26" ht="16.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spans="1:26" ht="16.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spans="1:26" ht="16.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spans="1:26" ht="16.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spans="1:26" ht="16.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spans="1:26" ht="16.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spans="1:26" ht="16.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spans="1:26" ht="16.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spans="1:26" ht="16.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spans="1:26" ht="16.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spans="1:26" ht="16.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spans="1:26" ht="16.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spans="1:26" ht="16.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spans="1:26" ht="16.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spans="1:26" ht="16.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spans="1:26" ht="16.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spans="1:26" ht="16.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spans="1:26" ht="16.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spans="1:26" ht="16.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spans="1:26" ht="16.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spans="1:26" ht="16.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spans="1:26" ht="16.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spans="1:26" ht="16.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spans="1:26" ht="16.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spans="1:26" ht="16.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spans="1:26" ht="16.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spans="1:26" ht="16.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spans="1:26" ht="16.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spans="1:26" ht="16.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spans="1:26" ht="16.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spans="1:26" ht="16.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spans="1:26" ht="16.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spans="1:26" ht="16.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spans="1:26" ht="16.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spans="1:26" ht="16.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spans="1:26" ht="16.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spans="1:26" ht="16.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spans="1:26" ht="16.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spans="1:26" ht="16.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spans="1:26" ht="16.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spans="1:26" ht="16.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spans="1:26" ht="16.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spans="1:26" ht="16.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spans="1:26" ht="16.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spans="1:26" ht="16.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spans="1:26" ht="16.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spans="1:26" ht="16.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spans="1:26" ht="16.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spans="1:26" ht="16.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spans="1:26" ht="16.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spans="1:26" ht="16.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spans="1:26" ht="16.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spans="1:26" ht="16.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spans="1:26" ht="16.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spans="1:26" ht="16.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spans="1:26" ht="16.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spans="1:26" ht="16.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spans="1:26" ht="16.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spans="1:26" ht="16.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spans="1:26" ht="16.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spans="1:26" ht="16.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spans="1:26" ht="16.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spans="1:26" ht="16.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spans="1:26" ht="16.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spans="1:26" ht="16.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spans="1:26" ht="16.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spans="1:26" ht="16.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spans="1:26" ht="16.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spans="1:26" ht="16.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spans="1:26" ht="16.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spans="1:26" ht="16.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spans="1:26" ht="16.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spans="1:26" ht="16.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spans="1:26" ht="16.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spans="1:26" ht="16.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spans="1:26" ht="16.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spans="1:26" ht="16.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spans="1:26" ht="16.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spans="1:26" ht="16.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spans="1:26" ht="16.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spans="1:26" ht="16.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spans="1:26" ht="16.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spans="1:26" ht="16.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spans="1:26" ht="16.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spans="1:26" ht="16.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spans="1:26" ht="16.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spans="1:26" ht="16.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spans="1:26" ht="16.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spans="1:26" ht="16.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spans="1:26" ht="16.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spans="1:26" ht="16.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spans="1:26" ht="16.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spans="1:26" ht="16.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spans="1:26" ht="16.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spans="1:26" ht="16.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spans="1:26" ht="16.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spans="1:26" ht="16.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spans="1:26" ht="16.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spans="1:26" ht="16.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spans="1:26" ht="16.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spans="1:26" ht="16.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spans="1:26" ht="16.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spans="1:26" ht="16.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spans="1:26" ht="16.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spans="1:26" ht="16.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spans="1:26" ht="16.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spans="1:26" ht="16.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  <row r="1001" spans="1:26" ht="16.5" customHeight="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</row>
    <row r="1002" spans="1:26" ht="16.5" customHeight="1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</row>
    <row r="1003" spans="1:26" ht="16.5" customHeight="1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</row>
    <row r="1004" spans="1:26" ht="16.5" customHeight="1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</row>
    <row r="1005" spans="1:26" ht="16.5" customHeight="1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</row>
    <row r="1006" spans="1:26" ht="16.5" customHeight="1">
      <c r="A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</row>
    <row r="1007" spans="1:26" ht="16.5" customHeight="1">
      <c r="A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</row>
  </sheetData>
  <mergeCells count="13">
    <mergeCell ref="C5:D5"/>
    <mergeCell ref="E5:F5"/>
    <mergeCell ref="G5:H5"/>
    <mergeCell ref="C6:H6"/>
    <mergeCell ref="D8:F8"/>
    <mergeCell ref="G8:I8"/>
    <mergeCell ref="B1:J1"/>
    <mergeCell ref="C3:D3"/>
    <mergeCell ref="E3:F3"/>
    <mergeCell ref="G3:H3"/>
    <mergeCell ref="C4:D4"/>
    <mergeCell ref="E4:F4"/>
    <mergeCell ref="G4:H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5"/>
  <sheetViews>
    <sheetView zoomScale="85" zoomScaleNormal="85" workbookViewId="0">
      <selection activeCell="C40" sqref="C40"/>
    </sheetView>
  </sheetViews>
  <sheetFormatPr defaultColWidth="14.42578125" defaultRowHeight="15" customHeight="1"/>
  <cols>
    <col min="1" max="1" width="10" style="1" customWidth="1"/>
    <col min="2" max="2" width="17.7109375" style="1" customWidth="1"/>
    <col min="3" max="3" width="37.42578125" style="1" customWidth="1"/>
    <col min="4" max="4" width="11.7109375" style="1" customWidth="1"/>
    <col min="5" max="5" width="14.85546875" style="1" customWidth="1"/>
    <col min="6" max="6" width="14" style="1" customWidth="1"/>
    <col min="7" max="8" width="10" style="1" customWidth="1"/>
    <col min="9" max="9" width="12.28515625" style="1" customWidth="1"/>
    <col min="10" max="10" width="14.28515625" style="1" customWidth="1"/>
    <col min="11" max="11" width="23.28515625" style="1" customWidth="1"/>
    <col min="12" max="26" width="10" style="1" customWidth="1"/>
    <col min="27" max="16384" width="14.42578125" style="1"/>
  </cols>
  <sheetData>
    <row r="1" spans="1:26" ht="14.25" customHeight="1">
      <c r="A1" s="2"/>
      <c r="B1" s="76" t="s">
        <v>34</v>
      </c>
      <c r="C1" s="77"/>
      <c r="D1" s="77"/>
      <c r="E1" s="77"/>
      <c r="F1" s="77"/>
      <c r="G1" s="77"/>
      <c r="H1" s="77"/>
      <c r="I1" s="77"/>
      <c r="J1" s="78"/>
      <c r="K1" s="6"/>
      <c r="L1" s="2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>
      <c r="A2" s="2"/>
      <c r="B2" s="3"/>
      <c r="C2" s="3"/>
      <c r="D2" s="3"/>
      <c r="E2" s="3"/>
      <c r="F2" s="3"/>
      <c r="G2" s="3"/>
      <c r="H2" s="3"/>
      <c r="I2" s="6"/>
      <c r="J2" s="6"/>
      <c r="K2" s="6"/>
      <c r="L2" s="2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50.25" customHeight="1">
      <c r="A3" s="4"/>
      <c r="B3" s="5" t="s">
        <v>1</v>
      </c>
      <c r="C3" s="79" t="s">
        <v>2</v>
      </c>
      <c r="D3" s="80"/>
      <c r="E3" s="79" t="s">
        <v>3</v>
      </c>
      <c r="F3" s="80"/>
      <c r="G3" s="81" t="s">
        <v>35</v>
      </c>
      <c r="H3" s="80"/>
      <c r="I3" s="2"/>
      <c r="J3" s="2"/>
      <c r="K3" s="6"/>
      <c r="L3" s="2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8" customHeight="1">
      <c r="A4" s="4"/>
      <c r="B4" s="5" t="s">
        <v>5</v>
      </c>
      <c r="C4" s="82"/>
      <c r="D4" s="80"/>
      <c r="E4" s="79" t="s">
        <v>6</v>
      </c>
      <c r="F4" s="80"/>
      <c r="G4" s="82"/>
      <c r="H4" s="80"/>
      <c r="I4" s="2"/>
      <c r="J4" s="2"/>
      <c r="K4" s="6"/>
      <c r="L4" s="2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8" customHeight="1">
      <c r="A5" s="4"/>
      <c r="B5" s="5" t="s">
        <v>7</v>
      </c>
      <c r="C5" s="82"/>
      <c r="D5" s="80"/>
      <c r="E5" s="79" t="s">
        <v>8</v>
      </c>
      <c r="F5" s="80"/>
      <c r="G5" s="83">
        <v>46119</v>
      </c>
      <c r="H5" s="80"/>
      <c r="I5" s="2"/>
      <c r="J5" s="2"/>
      <c r="K5" s="6"/>
      <c r="L5" s="2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8" customHeight="1">
      <c r="A6" s="4"/>
      <c r="B6" s="5" t="s">
        <v>9</v>
      </c>
      <c r="C6" s="82"/>
      <c r="D6" s="84"/>
      <c r="E6" s="84"/>
      <c r="F6" s="84"/>
      <c r="G6" s="84"/>
      <c r="H6" s="80"/>
      <c r="I6" s="2"/>
      <c r="J6" s="2"/>
      <c r="K6" s="6"/>
      <c r="L6" s="2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8" customHeight="1">
      <c r="A7" s="2"/>
      <c r="B7" s="6"/>
      <c r="C7" s="6"/>
      <c r="D7" s="7"/>
      <c r="E7" s="7"/>
      <c r="F7" s="7"/>
      <c r="G7" s="7"/>
      <c r="H7" s="7"/>
      <c r="I7" s="7"/>
      <c r="J7" s="6"/>
      <c r="K7" s="6"/>
      <c r="L7" s="2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8" customHeight="1">
      <c r="A8" s="2"/>
      <c r="B8" s="7"/>
      <c r="C8" s="8"/>
      <c r="D8" s="85" t="s">
        <v>10</v>
      </c>
      <c r="E8" s="86"/>
      <c r="F8" s="87"/>
      <c r="G8" s="85" t="s">
        <v>11</v>
      </c>
      <c r="H8" s="86"/>
      <c r="I8" s="87"/>
      <c r="J8" s="31"/>
      <c r="K8" s="7"/>
      <c r="L8" s="2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8" customHeight="1">
      <c r="A9" s="9"/>
      <c r="B9" s="10" t="s">
        <v>12</v>
      </c>
      <c r="C9" s="11" t="s">
        <v>13</v>
      </c>
      <c r="D9" s="10" t="s">
        <v>14</v>
      </c>
      <c r="E9" s="10" t="s">
        <v>15</v>
      </c>
      <c r="F9" s="10" t="s">
        <v>16</v>
      </c>
      <c r="G9" s="10" t="s">
        <v>14</v>
      </c>
      <c r="H9" s="10" t="s">
        <v>15</v>
      </c>
      <c r="I9" s="10" t="s">
        <v>16</v>
      </c>
      <c r="J9" s="11" t="s">
        <v>17</v>
      </c>
      <c r="K9" s="32" t="s">
        <v>18</v>
      </c>
      <c r="L9" s="33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8" customHeight="1">
      <c r="A10" s="9"/>
      <c r="B10" s="12">
        <v>1</v>
      </c>
      <c r="C10" s="13" t="s">
        <v>36</v>
      </c>
      <c r="D10" s="14">
        <v>42</v>
      </c>
      <c r="E10" s="15">
        <v>2</v>
      </c>
      <c r="F10" s="15">
        <v>0</v>
      </c>
      <c r="G10" s="15">
        <v>44</v>
      </c>
      <c r="H10" s="15">
        <v>0</v>
      </c>
      <c r="I10" s="12">
        <v>0</v>
      </c>
      <c r="J10" s="37">
        <v>46119</v>
      </c>
      <c r="K10" s="14">
        <v>44</v>
      </c>
      <c r="L10" s="33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8" customHeight="1">
      <c r="A11" s="9"/>
      <c r="B11" s="12">
        <v>2</v>
      </c>
      <c r="C11" s="16" t="s">
        <v>37</v>
      </c>
      <c r="D11" s="17">
        <v>10</v>
      </c>
      <c r="E11" s="15">
        <v>3</v>
      </c>
      <c r="F11" s="15">
        <v>0</v>
      </c>
      <c r="G11" s="15">
        <v>13</v>
      </c>
      <c r="H11" s="15">
        <v>0</v>
      </c>
      <c r="I11" s="12">
        <v>0</v>
      </c>
      <c r="J11" s="37">
        <v>46120</v>
      </c>
      <c r="K11" s="14">
        <v>13</v>
      </c>
      <c r="L11" s="33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8" customHeight="1">
      <c r="A12" s="9"/>
      <c r="B12" s="12">
        <v>3</v>
      </c>
      <c r="C12" s="13" t="s">
        <v>38</v>
      </c>
      <c r="D12" s="18">
        <v>9</v>
      </c>
      <c r="E12" s="14">
        <v>1</v>
      </c>
      <c r="F12" s="15">
        <v>0</v>
      </c>
      <c r="G12" s="15">
        <v>10</v>
      </c>
      <c r="H12" s="15">
        <v>0</v>
      </c>
      <c r="I12" s="12">
        <v>0</v>
      </c>
      <c r="J12" s="37">
        <v>46121</v>
      </c>
      <c r="K12" s="14">
        <v>10</v>
      </c>
      <c r="L12" s="33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8" customHeight="1">
      <c r="A13" s="9"/>
      <c r="B13" s="12">
        <v>4</v>
      </c>
      <c r="C13" s="19" t="s">
        <v>39</v>
      </c>
      <c r="D13" s="20">
        <v>11</v>
      </c>
      <c r="E13" s="15">
        <v>6</v>
      </c>
      <c r="F13" s="15">
        <v>0</v>
      </c>
      <c r="G13" s="15">
        <v>17</v>
      </c>
      <c r="H13" s="15">
        <v>0</v>
      </c>
      <c r="I13" s="12">
        <v>0</v>
      </c>
      <c r="J13" s="37">
        <v>46123</v>
      </c>
      <c r="K13" s="14">
        <v>17</v>
      </c>
      <c r="L13" s="33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8" customHeight="1">
      <c r="A14" s="9"/>
      <c r="B14" s="12">
        <v>5</v>
      </c>
      <c r="C14" s="19" t="s">
        <v>40</v>
      </c>
      <c r="D14" s="20">
        <v>43</v>
      </c>
      <c r="E14" s="15">
        <v>3</v>
      </c>
      <c r="F14" s="15">
        <v>0</v>
      </c>
      <c r="G14" s="15">
        <v>46</v>
      </c>
      <c r="H14" s="15">
        <v>0</v>
      </c>
      <c r="I14" s="12">
        <v>0</v>
      </c>
      <c r="J14" s="37">
        <v>46125</v>
      </c>
      <c r="K14" s="14">
        <v>46</v>
      </c>
      <c r="L14" s="33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8" customHeight="1">
      <c r="A15" s="9"/>
      <c r="B15" s="12">
        <v>6</v>
      </c>
      <c r="C15" s="19" t="s">
        <v>41</v>
      </c>
      <c r="D15" s="20">
        <v>22</v>
      </c>
      <c r="E15" s="15">
        <v>2</v>
      </c>
      <c r="F15" s="15">
        <v>0</v>
      </c>
      <c r="G15" s="15">
        <v>24</v>
      </c>
      <c r="H15" s="15">
        <v>0</v>
      </c>
      <c r="I15" s="12">
        <v>0</v>
      </c>
      <c r="J15" s="37">
        <v>46126</v>
      </c>
      <c r="K15" s="14">
        <v>24</v>
      </c>
      <c r="L15" s="33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8" customHeight="1">
      <c r="A16" s="9"/>
      <c r="B16" s="12">
        <v>7</v>
      </c>
      <c r="C16" s="13" t="s">
        <v>42</v>
      </c>
      <c r="D16" s="14">
        <v>22</v>
      </c>
      <c r="E16" s="15">
        <v>3</v>
      </c>
      <c r="F16" s="15">
        <v>0</v>
      </c>
      <c r="G16" s="15">
        <v>25</v>
      </c>
      <c r="H16" s="15">
        <v>0</v>
      </c>
      <c r="I16" s="12">
        <v>0</v>
      </c>
      <c r="J16" s="37">
        <v>46128</v>
      </c>
      <c r="K16" s="14">
        <v>25</v>
      </c>
      <c r="L16" s="33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8" customHeight="1">
      <c r="A17" s="9"/>
      <c r="B17" s="12">
        <v>8</v>
      </c>
      <c r="C17" s="13" t="s">
        <v>43</v>
      </c>
      <c r="D17" s="14">
        <v>41</v>
      </c>
      <c r="E17" s="15">
        <v>3</v>
      </c>
      <c r="F17" s="15">
        <v>0</v>
      </c>
      <c r="G17" s="15">
        <v>44</v>
      </c>
      <c r="H17" s="15">
        <v>0</v>
      </c>
      <c r="I17" s="12">
        <v>0</v>
      </c>
      <c r="J17" s="37">
        <v>46130</v>
      </c>
      <c r="K17" s="14">
        <v>44</v>
      </c>
      <c r="L17" s="33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8" customHeight="1">
      <c r="A18" s="9"/>
      <c r="B18" s="12">
        <v>9</v>
      </c>
      <c r="C18" s="13" t="s">
        <v>44</v>
      </c>
      <c r="D18" s="14">
        <v>7</v>
      </c>
      <c r="E18" s="15">
        <v>3</v>
      </c>
      <c r="F18" s="15">
        <v>0</v>
      </c>
      <c r="G18" s="15">
        <v>10</v>
      </c>
      <c r="H18" s="15">
        <v>0</v>
      </c>
      <c r="I18" s="12">
        <v>0</v>
      </c>
      <c r="J18" s="37">
        <v>46131</v>
      </c>
      <c r="K18" s="14">
        <v>10</v>
      </c>
      <c r="L18" s="33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8" customHeight="1">
      <c r="A19" s="9"/>
      <c r="B19" s="12">
        <v>10</v>
      </c>
      <c r="C19" s="13" t="s">
        <v>45</v>
      </c>
      <c r="D19" s="14">
        <v>2</v>
      </c>
      <c r="E19" s="15">
        <v>2</v>
      </c>
      <c r="F19" s="15">
        <v>0</v>
      </c>
      <c r="G19" s="15">
        <v>4</v>
      </c>
      <c r="H19" s="15">
        <v>0</v>
      </c>
      <c r="I19" s="12">
        <v>0</v>
      </c>
      <c r="J19" s="37">
        <v>46132</v>
      </c>
      <c r="K19" s="14">
        <v>4</v>
      </c>
      <c r="L19" s="33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8" customHeight="1">
      <c r="A20" s="9"/>
      <c r="B20" s="12">
        <v>11</v>
      </c>
      <c r="C20" s="13" t="s">
        <v>46</v>
      </c>
      <c r="D20" s="14">
        <v>12</v>
      </c>
      <c r="E20" s="15">
        <v>3</v>
      </c>
      <c r="F20" s="15">
        <v>0</v>
      </c>
      <c r="G20" s="15">
        <v>15</v>
      </c>
      <c r="H20" s="15">
        <v>0</v>
      </c>
      <c r="I20" s="12">
        <v>0</v>
      </c>
      <c r="J20" s="37">
        <v>46133</v>
      </c>
      <c r="K20" s="14">
        <v>15</v>
      </c>
      <c r="L20" s="33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8" customHeight="1">
      <c r="A21" s="9"/>
      <c r="B21" s="21"/>
      <c r="C21" s="22" t="s">
        <v>32</v>
      </c>
      <c r="D21" s="23">
        <f>SUM(D10:D20)</f>
        <v>221</v>
      </c>
      <c r="E21" s="23">
        <f>SUM(E10:E20)</f>
        <v>31</v>
      </c>
      <c r="F21" s="23">
        <v>0</v>
      </c>
      <c r="G21" s="23">
        <f>SUM(G10:G20)</f>
        <v>252</v>
      </c>
      <c r="H21" s="23">
        <v>0</v>
      </c>
      <c r="I21" s="23">
        <v>0</v>
      </c>
      <c r="J21" s="35"/>
      <c r="K21" s="23">
        <f>SUM(K10:K20)</f>
        <v>252</v>
      </c>
      <c r="L21" s="33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8" customHeight="1">
      <c r="A22" s="9"/>
      <c r="B22" s="15"/>
      <c r="C22" s="24"/>
      <c r="D22" s="15"/>
      <c r="E22" s="15"/>
      <c r="F22" s="15"/>
      <c r="G22" s="15"/>
      <c r="H22" s="15"/>
      <c r="I22" s="15"/>
      <c r="J22" s="36"/>
      <c r="K22" s="15"/>
      <c r="L22" s="33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8" customHeight="1">
      <c r="A23" s="9"/>
      <c r="L23" s="33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8" customHeight="1">
      <c r="A24" s="2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8" customHeight="1">
      <c r="A25" s="2"/>
      <c r="B25" s="2"/>
      <c r="C25" s="26" t="s">
        <v>33</v>
      </c>
      <c r="D25" s="27" t="s">
        <v>10</v>
      </c>
      <c r="E25" s="28">
        <v>1</v>
      </c>
      <c r="F25" s="26"/>
      <c r="G25" s="2"/>
      <c r="H25" s="2"/>
      <c r="I25" s="2"/>
      <c r="J25" s="2"/>
      <c r="K25" s="2"/>
      <c r="L25" s="2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8" customHeight="1">
      <c r="A26" s="2"/>
      <c r="B26" s="2"/>
      <c r="C26" s="2"/>
      <c r="D26" s="27" t="s">
        <v>11</v>
      </c>
      <c r="E26" s="28">
        <v>1</v>
      </c>
      <c r="F26" s="26"/>
      <c r="G26" s="2"/>
      <c r="H26" s="2"/>
      <c r="I26" s="2"/>
      <c r="J26" s="2"/>
      <c r="K26" s="2"/>
      <c r="L26" s="2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4.25" customHeight="1">
      <c r="A27" s="2"/>
      <c r="B27" s="2"/>
      <c r="C27" s="2"/>
      <c r="D27" s="2"/>
      <c r="E27" s="29"/>
      <c r="F27" s="2"/>
      <c r="G27" s="2"/>
      <c r="H27" s="2"/>
      <c r="I27" s="2"/>
      <c r="J27" s="2"/>
      <c r="K27" s="2"/>
      <c r="L27" s="2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4.25" customHeight="1">
      <c r="A28" s="2"/>
      <c r="B28" s="2"/>
      <c r="C28" s="2"/>
      <c r="D28" s="2"/>
      <c r="E28" s="29"/>
      <c r="F28" s="2"/>
      <c r="G28" s="2"/>
      <c r="H28" s="2"/>
      <c r="I28" s="2"/>
      <c r="J28" s="2"/>
      <c r="K28" s="2"/>
      <c r="L28" s="2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4.2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4.2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4.25" customHeight="1"/>
    <row r="32" spans="1:2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</sheetData>
  <mergeCells count="13">
    <mergeCell ref="C5:D5"/>
    <mergeCell ref="E5:F5"/>
    <mergeCell ref="G5:H5"/>
    <mergeCell ref="C6:H6"/>
    <mergeCell ref="D8:F8"/>
    <mergeCell ref="G8:I8"/>
    <mergeCell ref="B1:J1"/>
    <mergeCell ref="C3:D3"/>
    <mergeCell ref="E3:F3"/>
    <mergeCell ref="G3:H3"/>
    <mergeCell ref="C4:D4"/>
    <mergeCell ref="E4:F4"/>
    <mergeCell ref="G4:H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6"/>
  <sheetViews>
    <sheetView zoomScale="85" zoomScaleNormal="85" workbookViewId="0">
      <selection activeCell="C9" sqref="C9"/>
    </sheetView>
  </sheetViews>
  <sheetFormatPr defaultColWidth="14.42578125" defaultRowHeight="15" customHeight="1"/>
  <cols>
    <col min="1" max="1" width="10" style="1" customWidth="1"/>
    <col min="2" max="2" width="17.7109375" style="1" customWidth="1"/>
    <col min="3" max="3" width="48" style="1" customWidth="1"/>
    <col min="4" max="4" width="11.7109375" style="1" customWidth="1"/>
    <col min="5" max="5" width="14.85546875" style="1" customWidth="1"/>
    <col min="6" max="6" width="14" style="1" customWidth="1"/>
    <col min="7" max="8" width="10" style="1" customWidth="1"/>
    <col min="9" max="9" width="12.28515625" style="1" customWidth="1"/>
    <col min="10" max="10" width="14.28515625" style="1" customWidth="1"/>
    <col min="11" max="11" width="23.28515625" style="1" customWidth="1"/>
    <col min="12" max="26" width="10" style="1" customWidth="1"/>
    <col min="27" max="16384" width="14.42578125" style="1"/>
  </cols>
  <sheetData>
    <row r="1" spans="1:26" ht="14.25" customHeight="1">
      <c r="A1" s="2"/>
      <c r="B1" s="76" t="s">
        <v>47</v>
      </c>
      <c r="C1" s="77"/>
      <c r="D1" s="77"/>
      <c r="E1" s="77"/>
      <c r="F1" s="77"/>
      <c r="G1" s="77"/>
      <c r="H1" s="77"/>
      <c r="I1" s="77"/>
      <c r="J1" s="78"/>
      <c r="K1" s="6"/>
      <c r="L1" s="2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>
      <c r="A2" s="2"/>
      <c r="B2" s="3"/>
      <c r="C2" s="3"/>
      <c r="D2" s="3"/>
      <c r="E2" s="3"/>
      <c r="F2" s="3"/>
      <c r="G2" s="3"/>
      <c r="H2" s="3"/>
      <c r="I2" s="6"/>
      <c r="J2" s="6"/>
      <c r="K2" s="6"/>
      <c r="L2" s="2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50.25" customHeight="1">
      <c r="A3" s="4"/>
      <c r="B3" s="5" t="s">
        <v>1</v>
      </c>
      <c r="C3" s="79" t="s">
        <v>2</v>
      </c>
      <c r="D3" s="80"/>
      <c r="E3" s="79" t="s">
        <v>3</v>
      </c>
      <c r="F3" s="80"/>
      <c r="G3" s="81" t="s">
        <v>35</v>
      </c>
      <c r="H3" s="80"/>
      <c r="I3" s="2"/>
      <c r="J3" s="2"/>
      <c r="K3" s="6"/>
      <c r="L3" s="2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8" customHeight="1">
      <c r="A4" s="4"/>
      <c r="B4" s="5" t="s">
        <v>5</v>
      </c>
      <c r="C4" s="82"/>
      <c r="D4" s="80"/>
      <c r="E4" s="79" t="s">
        <v>6</v>
      </c>
      <c r="F4" s="80"/>
      <c r="G4" s="82"/>
      <c r="H4" s="80"/>
      <c r="I4" s="2"/>
      <c r="J4" s="2"/>
      <c r="K4" s="6"/>
      <c r="L4" s="2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8" customHeight="1">
      <c r="A5" s="4"/>
      <c r="B5" s="5" t="s">
        <v>7</v>
      </c>
      <c r="C5" s="82"/>
      <c r="D5" s="80"/>
      <c r="E5" s="79" t="s">
        <v>8</v>
      </c>
      <c r="F5" s="80"/>
      <c r="G5" s="83">
        <v>46137</v>
      </c>
      <c r="H5" s="80"/>
      <c r="I5" s="2"/>
      <c r="J5" s="2"/>
      <c r="K5" s="6"/>
      <c r="L5" s="2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8" customHeight="1">
      <c r="A6" s="4"/>
      <c r="B6" s="5" t="s">
        <v>9</v>
      </c>
      <c r="C6" s="82"/>
      <c r="D6" s="84"/>
      <c r="E6" s="84"/>
      <c r="F6" s="84"/>
      <c r="G6" s="84"/>
      <c r="H6" s="80"/>
      <c r="I6" s="2"/>
      <c r="J6" s="2"/>
      <c r="K6" s="6"/>
      <c r="L6" s="2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8" customHeight="1">
      <c r="A7" s="2"/>
      <c r="B7" s="6"/>
      <c r="C7" s="6"/>
      <c r="D7" s="7"/>
      <c r="E7" s="7"/>
      <c r="F7" s="7"/>
      <c r="G7" s="7"/>
      <c r="H7" s="7"/>
      <c r="I7" s="7"/>
      <c r="J7" s="6"/>
      <c r="K7" s="6"/>
      <c r="L7" s="2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8" customHeight="1">
      <c r="A8" s="2"/>
      <c r="B8" s="7"/>
      <c r="C8" s="8"/>
      <c r="D8" s="85" t="s">
        <v>10</v>
      </c>
      <c r="E8" s="86"/>
      <c r="F8" s="87"/>
      <c r="G8" s="85" t="s">
        <v>11</v>
      </c>
      <c r="H8" s="86"/>
      <c r="I8" s="87"/>
      <c r="J8" s="31"/>
      <c r="K8" s="7"/>
      <c r="L8" s="2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8" customHeight="1">
      <c r="A9" s="9"/>
      <c r="B9" s="10" t="s">
        <v>12</v>
      </c>
      <c r="C9" s="11" t="s">
        <v>13</v>
      </c>
      <c r="D9" s="10" t="s">
        <v>14</v>
      </c>
      <c r="E9" s="10" t="s">
        <v>15</v>
      </c>
      <c r="F9" s="10" t="s">
        <v>16</v>
      </c>
      <c r="G9" s="10" t="s">
        <v>14</v>
      </c>
      <c r="H9" s="10" t="s">
        <v>15</v>
      </c>
      <c r="I9" s="10" t="s">
        <v>16</v>
      </c>
      <c r="J9" s="11" t="s">
        <v>17</v>
      </c>
      <c r="K9" s="32" t="s">
        <v>18</v>
      </c>
      <c r="L9" s="33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8" customHeight="1">
      <c r="A10" s="9"/>
      <c r="B10" s="12">
        <v>1</v>
      </c>
      <c r="C10" s="13" t="s">
        <v>48</v>
      </c>
      <c r="D10" s="14">
        <v>6</v>
      </c>
      <c r="E10" s="15">
        <v>3</v>
      </c>
      <c r="F10" s="15">
        <v>0</v>
      </c>
      <c r="G10" s="15">
        <v>9</v>
      </c>
      <c r="H10" s="15">
        <v>0</v>
      </c>
      <c r="I10" s="12">
        <v>0</v>
      </c>
      <c r="J10" s="34">
        <v>46137</v>
      </c>
      <c r="K10" s="14">
        <f>G10</f>
        <v>9</v>
      </c>
      <c r="L10" s="33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8" customHeight="1">
      <c r="A11" s="9"/>
      <c r="B11" s="12">
        <v>2</v>
      </c>
      <c r="C11" s="16" t="s">
        <v>49</v>
      </c>
      <c r="D11" s="17">
        <v>12</v>
      </c>
      <c r="E11" s="15">
        <v>2</v>
      </c>
      <c r="F11" s="15">
        <v>0</v>
      </c>
      <c r="G11" s="15">
        <v>14</v>
      </c>
      <c r="H11" s="15">
        <v>0</v>
      </c>
      <c r="I11" s="12">
        <v>0</v>
      </c>
      <c r="J11" s="34">
        <v>46138</v>
      </c>
      <c r="K11" s="14">
        <f>G11</f>
        <v>14</v>
      </c>
      <c r="L11" s="33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8" customHeight="1">
      <c r="A12" s="9"/>
      <c r="B12" s="12">
        <v>3</v>
      </c>
      <c r="C12" s="13" t="s">
        <v>50</v>
      </c>
      <c r="D12" s="18">
        <v>51</v>
      </c>
      <c r="E12" s="14">
        <v>9</v>
      </c>
      <c r="F12" s="15">
        <v>0</v>
      </c>
      <c r="G12" s="15">
        <v>60</v>
      </c>
      <c r="H12" s="15">
        <v>0</v>
      </c>
      <c r="I12" s="12">
        <v>0</v>
      </c>
      <c r="J12" s="34">
        <v>46140</v>
      </c>
      <c r="K12" s="14">
        <f t="shared" ref="K12:K21" si="0">G12</f>
        <v>60</v>
      </c>
      <c r="L12" s="33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8" customHeight="1">
      <c r="A13" s="9"/>
      <c r="B13" s="12">
        <v>4</v>
      </c>
      <c r="C13" s="19" t="s">
        <v>51</v>
      </c>
      <c r="D13" s="20">
        <v>46</v>
      </c>
      <c r="E13" s="15">
        <v>1</v>
      </c>
      <c r="F13" s="15">
        <v>0</v>
      </c>
      <c r="G13" s="15">
        <v>47</v>
      </c>
      <c r="H13" s="15">
        <v>0</v>
      </c>
      <c r="I13" s="12">
        <v>0</v>
      </c>
      <c r="J13" s="34">
        <v>46141</v>
      </c>
      <c r="K13" s="14">
        <f t="shared" si="0"/>
        <v>47</v>
      </c>
      <c r="L13" s="33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8" customHeight="1">
      <c r="A14" s="9"/>
      <c r="B14" s="12">
        <v>5</v>
      </c>
      <c r="C14" s="19" t="s">
        <v>52</v>
      </c>
      <c r="D14" s="20">
        <v>13</v>
      </c>
      <c r="E14" s="15">
        <v>1</v>
      </c>
      <c r="F14" s="15">
        <v>0</v>
      </c>
      <c r="G14" s="15">
        <v>14</v>
      </c>
      <c r="H14" s="15">
        <v>0</v>
      </c>
      <c r="I14" s="12">
        <v>0</v>
      </c>
      <c r="J14" s="34">
        <v>46142</v>
      </c>
      <c r="K14" s="14">
        <f t="shared" si="0"/>
        <v>14</v>
      </c>
      <c r="L14" s="33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8" customHeight="1">
      <c r="A15" s="9"/>
      <c r="B15" s="12">
        <v>6</v>
      </c>
      <c r="C15" s="19" t="s">
        <v>53</v>
      </c>
      <c r="D15" s="20">
        <v>79</v>
      </c>
      <c r="E15" s="15">
        <v>0</v>
      </c>
      <c r="F15" s="15">
        <v>0</v>
      </c>
      <c r="G15" s="15">
        <v>79</v>
      </c>
      <c r="H15" s="15">
        <v>0</v>
      </c>
      <c r="I15" s="12">
        <v>0</v>
      </c>
      <c r="J15" s="34">
        <v>46144</v>
      </c>
      <c r="K15" s="14">
        <f t="shared" si="0"/>
        <v>79</v>
      </c>
      <c r="L15" s="33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8" customHeight="1">
      <c r="A16" s="9"/>
      <c r="B16" s="12">
        <v>7</v>
      </c>
      <c r="C16" s="13" t="s">
        <v>54</v>
      </c>
      <c r="D16" s="14">
        <v>40</v>
      </c>
      <c r="E16" s="15">
        <v>14</v>
      </c>
      <c r="F16" s="15">
        <v>0</v>
      </c>
      <c r="G16" s="15">
        <v>54</v>
      </c>
      <c r="H16" s="15">
        <v>0</v>
      </c>
      <c r="I16" s="12">
        <v>0</v>
      </c>
      <c r="J16" s="34">
        <v>46145</v>
      </c>
      <c r="K16" s="14">
        <f t="shared" si="0"/>
        <v>54</v>
      </c>
      <c r="L16" s="33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8" customHeight="1">
      <c r="A17" s="9"/>
      <c r="B17" s="12">
        <v>8</v>
      </c>
      <c r="C17" s="13" t="s">
        <v>55</v>
      </c>
      <c r="D17" s="14">
        <v>25</v>
      </c>
      <c r="E17" s="15">
        <v>6</v>
      </c>
      <c r="F17" s="15">
        <v>0</v>
      </c>
      <c r="G17" s="15">
        <v>31</v>
      </c>
      <c r="H17" s="15">
        <v>0</v>
      </c>
      <c r="I17" s="12">
        <v>0</v>
      </c>
      <c r="J17" s="34">
        <v>46146</v>
      </c>
      <c r="K17" s="14">
        <f t="shared" si="0"/>
        <v>31</v>
      </c>
      <c r="L17" s="33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8" customHeight="1">
      <c r="A18" s="9"/>
      <c r="B18" s="12">
        <v>9</v>
      </c>
      <c r="C18" s="13" t="s">
        <v>56</v>
      </c>
      <c r="D18" s="14">
        <v>12</v>
      </c>
      <c r="E18" s="15">
        <v>2</v>
      </c>
      <c r="F18" s="15">
        <v>0</v>
      </c>
      <c r="G18" s="15">
        <v>14</v>
      </c>
      <c r="H18" s="15">
        <v>0</v>
      </c>
      <c r="I18" s="12">
        <v>0</v>
      </c>
      <c r="J18" s="34">
        <v>46147</v>
      </c>
      <c r="K18" s="14">
        <f t="shared" si="0"/>
        <v>14</v>
      </c>
      <c r="L18" s="33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8" customHeight="1">
      <c r="A19" s="9"/>
      <c r="B19" s="12">
        <v>10</v>
      </c>
      <c r="C19" s="13" t="s">
        <v>57</v>
      </c>
      <c r="D19" s="14">
        <v>9</v>
      </c>
      <c r="E19" s="15">
        <v>6</v>
      </c>
      <c r="F19" s="15">
        <v>0</v>
      </c>
      <c r="G19" s="15">
        <v>15</v>
      </c>
      <c r="H19" s="15">
        <v>0</v>
      </c>
      <c r="I19" s="12">
        <v>0</v>
      </c>
      <c r="J19" s="34">
        <v>46148</v>
      </c>
      <c r="K19" s="14">
        <f t="shared" si="0"/>
        <v>15</v>
      </c>
      <c r="L19" s="33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8" customHeight="1">
      <c r="A20" s="9"/>
      <c r="B20" s="12">
        <v>11</v>
      </c>
      <c r="C20" s="13" t="s">
        <v>58</v>
      </c>
      <c r="D20" s="14">
        <v>57</v>
      </c>
      <c r="E20" s="15">
        <v>8</v>
      </c>
      <c r="F20" s="15">
        <v>0</v>
      </c>
      <c r="G20" s="15">
        <v>65</v>
      </c>
      <c r="H20" s="15">
        <v>0</v>
      </c>
      <c r="I20" s="12">
        <v>0</v>
      </c>
      <c r="J20" s="34">
        <v>46149</v>
      </c>
      <c r="K20" s="14">
        <f t="shared" si="0"/>
        <v>65</v>
      </c>
      <c r="L20" s="33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8" customHeight="1">
      <c r="A21" s="9"/>
      <c r="B21" s="12">
        <v>12</v>
      </c>
      <c r="C21" s="13" t="s">
        <v>59</v>
      </c>
      <c r="D21" s="14">
        <v>23</v>
      </c>
      <c r="E21" s="15">
        <v>21</v>
      </c>
      <c r="F21" s="15">
        <v>0</v>
      </c>
      <c r="G21" s="15">
        <v>24</v>
      </c>
      <c r="H21" s="15">
        <v>0</v>
      </c>
      <c r="I21" s="12">
        <v>0</v>
      </c>
      <c r="J21" s="34">
        <v>46150</v>
      </c>
      <c r="K21" s="14">
        <f t="shared" si="0"/>
        <v>24</v>
      </c>
      <c r="L21" s="33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8" customHeight="1">
      <c r="A22" s="9"/>
      <c r="B22" s="21"/>
      <c r="C22" s="22" t="s">
        <v>32</v>
      </c>
      <c r="D22" s="23">
        <f>SUM(D10:D21)</f>
        <v>373</v>
      </c>
      <c r="E22" s="23">
        <f>SUM(E10:E21)</f>
        <v>73</v>
      </c>
      <c r="F22" s="23">
        <v>0</v>
      </c>
      <c r="G22" s="23">
        <f>SUM(G10:G21)</f>
        <v>426</v>
      </c>
      <c r="H22" s="23">
        <v>0</v>
      </c>
      <c r="I22" s="23">
        <v>0</v>
      </c>
      <c r="J22" s="35"/>
      <c r="K22" s="23">
        <f>SUM(K10:K21)</f>
        <v>426</v>
      </c>
      <c r="L22" s="33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8" customHeight="1">
      <c r="A23" s="9"/>
      <c r="B23" s="15"/>
      <c r="C23" s="24"/>
      <c r="D23" s="15"/>
      <c r="E23" s="15"/>
      <c r="F23" s="15"/>
      <c r="G23" s="15"/>
      <c r="H23" s="15"/>
      <c r="I23" s="15"/>
      <c r="J23" s="36"/>
      <c r="K23" s="15"/>
      <c r="L23" s="33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8" customHeight="1">
      <c r="A24" s="9"/>
      <c r="L24" s="33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8" customHeight="1">
      <c r="A25" s="2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8" customHeight="1">
      <c r="A26" s="2"/>
      <c r="B26" s="2"/>
      <c r="C26" s="26" t="s">
        <v>33</v>
      </c>
      <c r="D26" s="27" t="s">
        <v>10</v>
      </c>
      <c r="E26" s="28">
        <v>1</v>
      </c>
      <c r="F26" s="26"/>
      <c r="G26" s="2"/>
      <c r="H26" s="2"/>
      <c r="I26" s="2"/>
      <c r="J26" s="2"/>
      <c r="K26" s="2"/>
      <c r="L26" s="2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8" customHeight="1">
      <c r="A27" s="2"/>
      <c r="B27" s="2"/>
      <c r="C27" s="2"/>
      <c r="D27" s="27" t="s">
        <v>11</v>
      </c>
      <c r="E27" s="28">
        <v>1</v>
      </c>
      <c r="F27" s="26"/>
      <c r="G27" s="2"/>
      <c r="H27" s="2"/>
      <c r="I27" s="2"/>
      <c r="J27" s="2"/>
      <c r="K27" s="2"/>
      <c r="L27" s="2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4.25" customHeight="1">
      <c r="A28" s="2"/>
      <c r="B28" s="2"/>
      <c r="C28" s="2"/>
      <c r="D28" s="2"/>
      <c r="E28" s="29"/>
      <c r="F28" s="2"/>
      <c r="G28" s="2"/>
      <c r="H28" s="2"/>
      <c r="I28" s="2"/>
      <c r="J28" s="2"/>
      <c r="K28" s="2"/>
      <c r="L28" s="2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4.25" customHeight="1">
      <c r="A29" s="2"/>
      <c r="B29" s="2"/>
      <c r="C29" s="2"/>
      <c r="D29" s="2"/>
      <c r="E29" s="29"/>
      <c r="F29" s="2"/>
      <c r="G29" s="2"/>
      <c r="H29" s="2"/>
      <c r="I29" s="2"/>
      <c r="J29" s="2"/>
      <c r="K29" s="2"/>
      <c r="L29" s="2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4.2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4.2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</sheetData>
  <mergeCells count="13">
    <mergeCell ref="C5:D5"/>
    <mergeCell ref="E5:F5"/>
    <mergeCell ref="G5:H5"/>
    <mergeCell ref="C6:H6"/>
    <mergeCell ref="D8:F8"/>
    <mergeCell ref="G8:I8"/>
    <mergeCell ref="B1:J1"/>
    <mergeCell ref="C3:D3"/>
    <mergeCell ref="E3:F3"/>
    <mergeCell ref="G3:H3"/>
    <mergeCell ref="C4:D4"/>
    <mergeCell ref="E4:F4"/>
    <mergeCell ref="G4:H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Sprint 1</vt:lpstr>
      <vt:lpstr>Sprint 2</vt:lpstr>
      <vt:lpstr>Sprint 3</vt:lpstr>
      <vt:lpstr>'Sprint 2'!_Hlk213765632</vt:lpstr>
      <vt:lpstr>'Sprint 3'!_Hlk213765632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phu0789447975@gmail.com</cp:lastModifiedBy>
  <cp:lastPrinted>2025-11-17T10:22:00Z</cp:lastPrinted>
  <dcterms:created xsi:type="dcterms:W3CDTF">2024-04-29T15:41:00Z</dcterms:created>
  <dcterms:modified xsi:type="dcterms:W3CDTF">2026-05-13T09:02:21Z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D265F87C3EFE4C97A420B66CCA240610_13</vt:lpwstr>
  </property>
  <property fmtid="{D5CDD505-2E9C-101B-9397-08002B2CF9AE}" pid="3" name="KSOProductBuildVer">
    <vt:lpwstr>1033-12.2.0.22222</vt:lpwstr>
  </property>
</Properties>
</file>