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arning\Nhom19_DoAnTotNghiep_2026\File_làm\"/>
    </mc:Choice>
  </mc:AlternateContent>
  <xr:revisionPtr revIDLastSave="0" documentId="13_ncr:1_{0C6D4361-C2AD-491E-9EF8-AE9B9B0BDF2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print 1" sheetId="1" r:id="rId1"/>
    <sheet name="Sprint 2" sheetId="2" r:id="rId2"/>
    <sheet name="Sprint 3" sheetId="5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7" i="2" l="1"/>
  <c r="L97" i="2"/>
  <c r="M111" i="1"/>
  <c r="M112" i="1"/>
  <c r="L111" i="1"/>
  <c r="L112" i="1"/>
  <c r="K112" i="1"/>
  <c r="K111" i="1"/>
  <c r="I104" i="5"/>
  <c r="J97" i="2"/>
  <c r="Y104" i="5"/>
  <c r="Y105" i="5"/>
  <c r="X104" i="5"/>
  <c r="X105" i="5"/>
  <c r="W104" i="5"/>
  <c r="W105" i="5"/>
  <c r="V105" i="5"/>
  <c r="V104" i="5"/>
  <c r="U105" i="5"/>
  <c r="T104" i="5"/>
  <c r="T105" i="5"/>
  <c r="S104" i="5"/>
  <c r="S105" i="5"/>
  <c r="R104" i="5"/>
  <c r="R105" i="5"/>
  <c r="Q104" i="5"/>
  <c r="Q105" i="5"/>
  <c r="P104" i="5"/>
  <c r="P105" i="5"/>
  <c r="O104" i="5"/>
  <c r="U104" i="5"/>
  <c r="O105" i="5"/>
  <c r="N104" i="5"/>
  <c r="N105" i="5"/>
  <c r="M104" i="5"/>
  <c r="M105" i="5"/>
  <c r="L104" i="5"/>
  <c r="L105" i="5"/>
  <c r="K104" i="5"/>
  <c r="K105" i="5"/>
  <c r="Z104" i="5"/>
  <c r="Z105" i="5"/>
  <c r="J104" i="5"/>
  <c r="J105" i="5"/>
  <c r="I105" i="5"/>
  <c r="D12" i="5"/>
  <c r="J6" i="4" s="1"/>
  <c r="D11" i="5"/>
  <c r="H6" i="4" s="1"/>
  <c r="D10" i="5"/>
  <c r="F6" i="4" s="1"/>
  <c r="D9" i="5"/>
  <c r="D6" i="4" s="1"/>
  <c r="D8" i="5"/>
  <c r="B6" i="4" s="1"/>
  <c r="E12" i="5"/>
  <c r="K6" i="4" s="1"/>
  <c r="E11" i="5"/>
  <c r="I6" i="4" s="1"/>
  <c r="E10" i="5"/>
  <c r="G6" i="4" s="1"/>
  <c r="E9" i="5"/>
  <c r="E6" i="4" s="1"/>
  <c r="E8" i="5"/>
  <c r="C6" i="4" s="1"/>
  <c r="Z97" i="2"/>
  <c r="Z98" i="2"/>
  <c r="Y97" i="2"/>
  <c r="Y98" i="2"/>
  <c r="X97" i="2"/>
  <c r="X98" i="2"/>
  <c r="W97" i="2"/>
  <c r="W98" i="2"/>
  <c r="V97" i="2"/>
  <c r="V98" i="2"/>
  <c r="U97" i="2"/>
  <c r="U98" i="2"/>
  <c r="T97" i="2"/>
  <c r="T98" i="2"/>
  <c r="S97" i="2"/>
  <c r="S98" i="2"/>
  <c r="R97" i="2"/>
  <c r="R98" i="2"/>
  <c r="Q97" i="2"/>
  <c r="Q98" i="2"/>
  <c r="P97" i="2"/>
  <c r="P98" i="2"/>
  <c r="O97" i="2"/>
  <c r="O98" i="2"/>
  <c r="N97" i="2"/>
  <c r="N98" i="2"/>
  <c r="M97" i="2"/>
  <c r="M98" i="2"/>
  <c r="L98" i="2"/>
  <c r="K98" i="2"/>
  <c r="I98" i="2"/>
  <c r="I97" i="2"/>
  <c r="G97" i="2"/>
  <c r="G98" i="2"/>
  <c r="E12" i="2"/>
  <c r="D12" i="2"/>
  <c r="E11" i="2"/>
  <c r="D11" i="2"/>
  <c r="E10" i="2"/>
  <c r="D10" i="2"/>
  <c r="E9" i="2"/>
  <c r="D9" i="2"/>
  <c r="E8" i="2"/>
  <c r="D8" i="2"/>
  <c r="D12" i="1"/>
  <c r="D11" i="1"/>
  <c r="D10" i="1"/>
  <c r="D9" i="1"/>
  <c r="D8" i="1"/>
  <c r="G111" i="1"/>
  <c r="G112" i="1"/>
  <c r="B4" i="4"/>
  <c r="E12" i="1"/>
  <c r="E11" i="1"/>
  <c r="E10" i="1"/>
  <c r="E9" i="1"/>
  <c r="E8" i="1"/>
  <c r="I111" i="1"/>
  <c r="I112" i="1"/>
  <c r="Y111" i="1"/>
  <c r="Y112" i="1"/>
  <c r="X111" i="1"/>
  <c r="X112" i="1"/>
  <c r="W111" i="1"/>
  <c r="W112" i="1"/>
  <c r="V111" i="1"/>
  <c r="V112" i="1"/>
  <c r="U111" i="1"/>
  <c r="U112" i="1"/>
  <c r="T111" i="1"/>
  <c r="T112" i="1"/>
  <c r="S111" i="1"/>
  <c r="S112" i="1"/>
  <c r="R111" i="1"/>
  <c r="R112" i="1"/>
  <c r="Q111" i="1"/>
  <c r="Q112" i="1"/>
  <c r="P111" i="1"/>
  <c r="P112" i="1"/>
  <c r="O111" i="1"/>
  <c r="O112" i="1"/>
  <c r="N111" i="1"/>
  <c r="N112" i="1"/>
  <c r="J111" i="1"/>
  <c r="J112" i="1"/>
  <c r="G104" i="5"/>
  <c r="G105" i="5"/>
  <c r="J98" i="2"/>
  <c r="Z111" i="1"/>
  <c r="Z112" i="1"/>
  <c r="D13" i="1" l="1"/>
  <c r="E13" i="1"/>
  <c r="B5" i="4"/>
  <c r="B7" i="4" s="1"/>
  <c r="E13" i="5"/>
  <c r="D13" i="5"/>
  <c r="E13" i="2"/>
  <c r="E4" i="4" l="1"/>
  <c r="D13" i="2" l="1"/>
  <c r="C4" i="4" l="1"/>
  <c r="J4" i="4" l="1"/>
  <c r="H4" i="4"/>
  <c r="F5" i="4"/>
  <c r="F7" i="4" s="1"/>
  <c r="D5" i="4"/>
  <c r="D7" i="4" s="1"/>
  <c r="F11" i="4" s="1"/>
  <c r="K5" i="4"/>
  <c r="I5" i="4"/>
  <c r="K4" i="4"/>
  <c r="I4" i="4"/>
  <c r="G5" i="4"/>
  <c r="G4" i="4"/>
  <c r="E5" i="4"/>
  <c r="E7" i="4" s="1"/>
  <c r="C5" i="4"/>
  <c r="C7" i="4" s="1"/>
  <c r="J5" i="4"/>
  <c r="J7" i="4" s="1"/>
  <c r="H5" i="4"/>
  <c r="H7" i="4" s="1"/>
  <c r="F4" i="4"/>
  <c r="D4" i="4"/>
  <c r="K7" i="4" l="1"/>
  <c r="G7" i="4"/>
  <c r="I7" i="4"/>
  <c r="F12" i="4" l="1"/>
</calcChain>
</file>

<file path=xl/sharedStrings.xml><?xml version="1.0" encoding="utf-8"?>
<sst xmlns="http://schemas.openxmlformats.org/spreadsheetml/2006/main" count="1050" uniqueCount="254">
  <si>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</si>
  <si>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</si>
  <si>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</si>
  <si>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</si>
  <si>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</si>
  <si>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</si>
  <si>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</si>
  <si>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</si>
  <si>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</si>
  <si>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</si>
  <si>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</si>
  <si>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</si>
  <si>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</si>
  <si>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</si>
  <si>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</si>
  <si>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Sprint 1 review meeting</t>
  </si>
  <si>
    <t>Sprint 1 retrospective</t>
  </si>
  <si>
    <t>Release Sprint 1</t>
  </si>
  <si>
    <t>Sprint 2</t>
  </si>
  <si>
    <t>SPRINT 2 REPORT</t>
  </si>
  <si>
    <t>Release Sprint 2</t>
  </si>
  <si>
    <t>Sprint 2 review meeting</t>
  </si>
  <si>
    <t>Sprint 2 retrospective</t>
  </si>
  <si>
    <t>Tạo Sprint Backlog 2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</si>
  <si>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</si>
  <si>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</si>
  <si>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</si>
  <si>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</si>
  <si>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</si>
  <si>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</si>
  <si>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</si>
  <si>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</si>
  <si>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</si>
  <si>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</si>
  <si>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</si>
  <si>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Toàn</t>
  </si>
  <si>
    <t>Phú</t>
  </si>
  <si>
    <t>Tú</t>
  </si>
  <si>
    <t>Hưng</t>
  </si>
  <si>
    <t>Uyên</t>
  </si>
  <si>
    <t>All Team</t>
  </si>
  <si>
    <t>Tạo tài liệu cơ sở dữ liệu cho Sprint 1</t>
  </si>
  <si>
    <t>Tú, Uyên</t>
  </si>
  <si>
    <t>Toàn, Phú</t>
  </si>
  <si>
    <t>Tú, Hưng</t>
  </si>
  <si>
    <t>Uyên, Tú</t>
  </si>
  <si>
    <t>Toàn, Hưng</t>
  </si>
  <si>
    <t>Toàn, Uyên</t>
  </si>
  <si>
    <t>Phú, Uyên</t>
  </si>
  <si>
    <t>Toàn, Tú</t>
  </si>
  <si>
    <t>Lâm Chu Bảo Toàn</t>
  </si>
  <si>
    <t>Huỳnh Ngọc Phú</t>
  </si>
  <si>
    <t>Nguyễn Minh Tú</t>
  </si>
  <si>
    <t>Nguyễn Tú Uyên</t>
  </si>
  <si>
    <t>Vương Quốc Hưng</t>
  </si>
  <si>
    <t>Xây dựng hệ thống quản lý và đặt bàn CafeBook tích hợp Chatbot AI hỗ trợ tư vấn</t>
  </si>
  <si>
    <t>19/03/2026</t>
  </si>
  <si>
    <t>22/04/2026</t>
  </si>
  <si>
    <t>Tạo tài liệu kiểm thử cho Sprint 2</t>
  </si>
  <si>
    <t>Tạo tài liệu kiểm thử cho Sprint 1</t>
  </si>
  <si>
    <t>Tạo tài liệu cơ sở dữ liệu cho Sprint 2</t>
  </si>
  <si>
    <t>Phú, Tú</t>
  </si>
  <si>
    <t>23/04/2026</t>
  </si>
  <si>
    <t>Đăng nhập &amp; Đăng xuất (App)</t>
  </si>
  <si>
    <t>Thiết kế giao diện "Đăng nhập &amp; Đăng xuất (App)"</t>
  </si>
  <si>
    <t>Code chức năng "Đăng nhập &amp; Đăng xuất (App)"</t>
  </si>
  <si>
    <t>Design TestCase "Đăng nhập &amp; Đăng xuất (App)"</t>
  </si>
  <si>
    <t>Test chức năng "Đăng nhập &amp; Đăng xuất (App)"</t>
  </si>
  <si>
    <t>Fixbug phát sinh</t>
  </si>
  <si>
    <t>Retest sau khi fix</t>
  </si>
  <si>
    <t>Đăng nhập &amp; Khôi phục MK (Web)</t>
  </si>
  <si>
    <t>Thiết kế giao diện "Đăng nhập &amp; Khôi phục MK (Web)"</t>
  </si>
  <si>
    <t>Code chức năng "Đăng nhập &amp; Khôi phục MK (Web)"</t>
  </si>
  <si>
    <t>Design TestCase "Đăng nhập &amp; Khôi phục MK (Web)"</t>
  </si>
  <si>
    <t>Test chức năng "Đăng nhập &amp; Khôi phục MK (Web)"</t>
  </si>
  <si>
    <t>Đăng ký thành viên (Web)</t>
  </si>
  <si>
    <t>Thiết kế giao diện "Đăng ký thành viên (Web)"</t>
  </si>
  <si>
    <t>Code chức năng "Đăng ký thành viên (Web)"</t>
  </si>
  <si>
    <t>Design TestCase "Đăng ký thành viên (Web)"</t>
  </si>
  <si>
    <t>Test chức năng "Đăng ký thành viên (Web)"</t>
  </si>
  <si>
    <t>Quản lý Sản phẩm &amp; Định lượng (App)</t>
  </si>
  <si>
    <t>Thiết kế giao diện "Quản lý Sản phẩm &amp; Định lượng (App)"</t>
  </si>
  <si>
    <t>Code chức năng "Quản lý Sản phẩm &amp; Định lượng (App)"</t>
  </si>
  <si>
    <t>Design TestCase "Quản lý Sản phẩm &amp; Định lượng (App)"</t>
  </si>
  <si>
    <t>Test chức năng "Quản lý Sản phẩm &amp; Định lượng (App)"</t>
  </si>
  <si>
    <t>Thiết kế giao diện "Quản lý Bàn (App)"</t>
  </si>
  <si>
    <t>Code chức năng "Quản lý Bàn (App)"</t>
  </si>
  <si>
    <t>Design TestCase "Quản lý Bàn (App)"</t>
  </si>
  <si>
    <t>Test chức năng "Quản lý Bàn (App)"</t>
  </si>
  <si>
    <t>Quản lý Bàn (App)</t>
  </si>
  <si>
    <t>Khám phá Thực đơn (Web)</t>
  </si>
  <si>
    <t>Thiết kế giao diện "Khám phá Thực đơn (Web)"</t>
  </si>
  <si>
    <t>Code chức năng "Khám phá Thực đơn (Web)"</t>
  </si>
  <si>
    <t>Design TestCase "Khám phá Thực đơn (Web)"</t>
  </si>
  <si>
    <t>Test chức năng "Khám phá Thực đơn (Web)"</t>
  </si>
  <si>
    <t>Đặt bàn trực tuyến (Web)</t>
  </si>
  <si>
    <t>Giỏ hàng &amp; Thanh toán Online (Web)</t>
  </si>
  <si>
    <t>Giao dịch Dịch vụ (App)</t>
  </si>
  <si>
    <t>POS Phục vụ &amp; Thu ngân (App)</t>
  </si>
  <si>
    <t>Màn hình Chế biến (App)</t>
  </si>
  <si>
    <t>Quản lý Đơn hàng &amp; Phụ thu (App)</t>
  </si>
  <si>
    <t>Không gian cá nhân KH (Web)</t>
  </si>
  <si>
    <t>Thiết kế giao diện "Đặt bàn trực tuyến (Web)"</t>
  </si>
  <si>
    <t>Code chức năng "Đặt bàn trực tuyến (Web)"</t>
  </si>
  <si>
    <t>Design TestCase "Đặt bàn trực tuyến (Web)"</t>
  </si>
  <si>
    <t>Test chức năng "Đặt bàn trực tuyến (Web)"</t>
  </si>
  <si>
    <t>Thiết kế giao diện "Giỏ hàng &amp; Thanh toán Online (Web)"</t>
  </si>
  <si>
    <t>Code chức năng "Giỏ hàng &amp; Thanh toán Online (Web)"</t>
  </si>
  <si>
    <t>Design TestCase "Giỏ hàng &amp; Thanh toán Online (Web)"</t>
  </si>
  <si>
    <t>Test chức năng "Giỏ hàng &amp; Thanh toán Online (Web)"</t>
  </si>
  <si>
    <t>Thiết kế giao diện "Giao dịch Dịch vụ (App)"</t>
  </si>
  <si>
    <t>Code chức năng "Giao dịch Dịch vụ (App)"</t>
  </si>
  <si>
    <t>Design TestCase "Giao dịch Dịch vụ (App)"</t>
  </si>
  <si>
    <t>Test chức năng "Giao dịch Dịch vụ (App)"</t>
  </si>
  <si>
    <t>Thiết kế giao diện "POS Phục vụ &amp; Thu ngân (App)"</t>
  </si>
  <si>
    <t>Code chức năng "POS Phục vụ &amp; Thu ngân (App)"</t>
  </si>
  <si>
    <t>Design TestCase "POS Phục vụ &amp; Thu ngân (App)"</t>
  </si>
  <si>
    <t>Test chức năng "POS Phục vụ &amp; Thu ngân (App)"</t>
  </si>
  <si>
    <t>Thiết kế giao diện "Màn hình Chế biến (App)"</t>
  </si>
  <si>
    <t>Code chức năng "Màn hình Chế biến (App)"</t>
  </si>
  <si>
    <t>Design TestCase "Màn hình Chế biến (App)"</t>
  </si>
  <si>
    <t>Test chức năng "Màn hình Chế biến (App)"</t>
  </si>
  <si>
    <t>Thiết kế giao diện "Quản lý Đơn hàng &amp; Phụ thu (App)"</t>
  </si>
  <si>
    <t>Code chức năng "Quản lý Đơn hàng &amp; Phụ thu (App)"</t>
  </si>
  <si>
    <t>Design TestCase "Quản lý Đơn hàng &amp; Phụ thu (App)"</t>
  </si>
  <si>
    <t>Test chức năng "Quản lý Đơn hàng &amp; Phụ thu (App)"</t>
  </si>
  <si>
    <t>Thiết kế giao diện "Không gian cá nhân KH (Web)"</t>
  </si>
  <si>
    <t>Code chức năng "Không gian cá nhân KH (Web)"</t>
  </si>
  <si>
    <t>Design TestCase "Không gian cá nhân KH (Web)"</t>
  </si>
  <si>
    <t>Test chức năng "Không gian cá nhân KH (Web)"</t>
  </si>
  <si>
    <t>Phú, Hưng</t>
  </si>
  <si>
    <t>Quản lý Sách &amp; Danh mục (App)</t>
  </si>
  <si>
    <t>Tra cứu Thư viện sách (Web)</t>
  </si>
  <si>
    <t>Chi tiết Sách &amp; Trạng thái (Web)</t>
  </si>
  <si>
    <t>Thuê &amp; Trả sách (App)</t>
  </si>
  <si>
    <t>Quản lý Nguyên liệu &amp; Quy đổi (App)</t>
  </si>
  <si>
    <t>Quản lý Nhà cung cấp (App)</t>
  </si>
  <si>
    <t>Nhập/Xuất kho (App)</t>
  </si>
  <si>
    <t>Quản lý Tồn kho &amp; Kiểm kho (App)</t>
  </si>
  <si>
    <t>Liên hệ &amp; Góp ý (Web)</t>
  </si>
  <si>
    <t>Chính sách cửa hàng (Web)</t>
  </si>
  <si>
    <t>Đánh giá dịch vụ (Web)</t>
  </si>
  <si>
    <t>Thiết kế giao diện "Quản lý Sách &amp; Danh mục (App)"</t>
  </si>
  <si>
    <t>Code chức năng "Quản lý Sách &amp; Danh mục (App)"</t>
  </si>
  <si>
    <t>Design TestCase "Quản lý Sách &amp; Danh mục (App)"</t>
  </si>
  <si>
    <t>Test chức năng "Quản lý Sách &amp; Danh mục (App)"</t>
  </si>
  <si>
    <t>Thiết kế giao diện "Tra cứu Thư viện sách (Web)"</t>
  </si>
  <si>
    <t>Code chức năng "Tra cứu Thư viện sách (Web)"</t>
  </si>
  <si>
    <t>Design TestCase "Tra cứu Thư viện sách (Web)"</t>
  </si>
  <si>
    <t>Test chức năng "Tra cứu Thư viện sách (Web)"</t>
  </si>
  <si>
    <t>Thiết kế giao diện "Chi tiết Sách &amp; Trạng thái (Web)"</t>
  </si>
  <si>
    <t>Code chức năng "Chi tiết Sách &amp; Trạng thái (Web)"</t>
  </si>
  <si>
    <t>Design TestCase "Chi tiết Sách &amp; Trạng thái (Web)"</t>
  </si>
  <si>
    <t>Test chức năng "Chi tiết Sách &amp; Trạng thái (Web)"</t>
  </si>
  <si>
    <t>Thiết kế giao diện "Thuê &amp; Trả sách (App)"</t>
  </si>
  <si>
    <t>Code chức năng "Thuê &amp; Trả sách (App)"</t>
  </si>
  <si>
    <t>Design TestCase "Thuê &amp; Trả sách (App)"</t>
  </si>
  <si>
    <t>Test chức năng "Thuê &amp; Trả sách (App)"</t>
  </si>
  <si>
    <t>Thiết kế giao diện "Quản lý Nguyên liệu &amp; Quy đổi (App)"</t>
  </si>
  <si>
    <t>Code chức năng "Quản lý Nguyên liệu &amp; Quy đổi (App)"</t>
  </si>
  <si>
    <t>Design TestCase "Quản lý Nguyên liệu &amp; Quy đổi (App)"</t>
  </si>
  <si>
    <t>Test chức năng "Quản lý Nguyên liệu &amp; Quy đổi (App)"</t>
  </si>
  <si>
    <t>Thiết kế giao diện "Quản lý Nhà cung cấp (App)"</t>
  </si>
  <si>
    <t>Code chức năng "Quản lý Nhà cung cấp (App)"</t>
  </si>
  <si>
    <t>Design TestCase "Quản lý Nhà cung cấp (App)"</t>
  </si>
  <si>
    <t>Test chức năng "Quản lý Nhà cung cấp (App)"</t>
  </si>
  <si>
    <t>Thiết kế giao diện "Nhập/Xuất kho (App)"</t>
  </si>
  <si>
    <t>Code chức năng "Nhập/Xuất kho (App)"</t>
  </si>
  <si>
    <t>Design TestCase "Nhập/Xuất kho (App)"</t>
  </si>
  <si>
    <t>Test chức năng "Nhập/Xuất kho (App)"</t>
  </si>
  <si>
    <t>Thiết kế giao diện "Quản lý Tồn kho &amp; Kiểm kho (App)"</t>
  </si>
  <si>
    <t>Code chức năng "Quản lý Tồn kho &amp; Kiểm kho (App)"</t>
  </si>
  <si>
    <t>Design TestCase "Quản lý Tồn kho &amp; Kiểm kho (App)"</t>
  </si>
  <si>
    <t>Test chức năng "Quản lý Tồn kho &amp; Kiểm kho (App)"</t>
  </si>
  <si>
    <t>Thiết kế giao diện "Liên hệ &amp; Góp ý (Web)"</t>
  </si>
  <si>
    <t>Code chức năng "Liên hệ &amp; Góp ý (Web)"</t>
  </si>
  <si>
    <t>Design TestCase "Liên hệ &amp; Góp ý (Web)"</t>
  </si>
  <si>
    <t>Test chức năng "Liên hệ &amp; Góp ý (Web)"</t>
  </si>
  <si>
    <t>Thiết kế giao diện "Chính sách cửa hàng (Web)"</t>
  </si>
  <si>
    <t>Code chức năng "Chính sách cửa hàng (Web)"</t>
  </si>
  <si>
    <t>Design TestCase "Chính sách cửa hàng (Web)"</t>
  </si>
  <si>
    <t>Test chức năng "Chính sách cửa hàng (Web)"</t>
  </si>
  <si>
    <t>Thiết kế giao diện "Đánh giá dịch vụ (Web)"</t>
  </si>
  <si>
    <t>Code chức năng "Đánh giá dịch vụ (Web)"</t>
  </si>
  <si>
    <t>Design TestCase "Đánh giá dịch vụ (Web)"</t>
  </si>
  <si>
    <t>Test chức năng "Đánh giá dịch vụ (Web)"</t>
  </si>
  <si>
    <t>Sprint 3</t>
  </si>
  <si>
    <t>Tạo Sprint Backlog 3</t>
  </si>
  <si>
    <t>Tạo tài liệu kiểm thử cho Sprint 3</t>
  </si>
  <si>
    <t>Tạo tài liệu cơ sở dữ liệu cho Sprint 3</t>
  </si>
  <si>
    <t>Trợ lý AI (Chatbot) (Web)</t>
  </si>
  <si>
    <t>Hỗ trợ trực tiếp (Web)</t>
  </si>
  <si>
    <t>Quản lý Nhân sự, Phân quyền &amp; KPI (App)</t>
  </si>
  <si>
    <t>Lịch làm việc &amp; Xin nghỉ (App)</t>
  </si>
  <si>
    <t>Chấm công (App)</t>
  </si>
  <si>
    <t>Quản lý Lương, Chấm công &amp; Thưởng/Phạt (App)</t>
  </si>
  <si>
    <t>Không gian cá nhân (App)</t>
  </si>
  <si>
    <t>Quản lý Khách hàng &amp; Khuyến mãi (App)</t>
  </si>
  <si>
    <t>Nhật ký hệ thống (App)</t>
  </si>
  <si>
    <t>Hệ thống Báo cáo (App)</t>
  </si>
  <si>
    <t>Dashboard (Tổng quan) (App)</t>
  </si>
  <si>
    <t>Thiết kế giao diện "Trợ lý AI (Chatbot) (Web)"</t>
  </si>
  <si>
    <t>Code chức năng "Trợ lý AI (Chatbot) (Web)"</t>
  </si>
  <si>
    <t>Design TestCase "Trợ lý AI (Chatbot) (Web)"</t>
  </si>
  <si>
    <t>Test chức năng "Trợ lý AI (Chatbot) (Web)"</t>
  </si>
  <si>
    <t>Thiết kế giao diện "Hỗ trợ trực tiếp (Web)"</t>
  </si>
  <si>
    <t>Code chức năng "Hỗ trợ trực tiếp (Web)"</t>
  </si>
  <si>
    <t>Design TestCase "Hỗ trợ trực tiếp (Web)"</t>
  </si>
  <si>
    <t>Test chức năng "Hỗ trợ trực tiếp (Web)"</t>
  </si>
  <si>
    <t>Thiết kế giao diện "Quản lý Nhân sự, Phân quyền &amp; KPI (App)"</t>
  </si>
  <si>
    <t>Code chức năng "Quản lý Nhân sự, Phân quyền &amp; KPI (App)"</t>
  </si>
  <si>
    <t>Design TestCase "Quản lý Nhân sự, Phân quyền &amp; KPI (App)"</t>
  </si>
  <si>
    <t>Test chức năng "Quản lý Nhân sự, Phân quyền &amp; KPI (App)"</t>
  </si>
  <si>
    <t>Thiết kế giao diện "Lịch làm việc &amp; Xin nghỉ (App)"</t>
  </si>
  <si>
    <t>Code chức năng "Lịch làm việc &amp; Xin nghỉ (App)"</t>
  </si>
  <si>
    <t>Design TestCase "Lịch làm việc &amp; Xin nghỉ (App)"</t>
  </si>
  <si>
    <t>Test chức năng "Lịch làm việc &amp; Xin nghỉ (App)"</t>
  </si>
  <si>
    <t>Thiết kế giao diện "Chấm công (App)"</t>
  </si>
  <si>
    <t>Code chức năng "Chấm công (App)"</t>
  </si>
  <si>
    <t>Design TestCase "Chấm công (App)"</t>
  </si>
  <si>
    <t>Test chức năng "Chấm công (App)"</t>
  </si>
  <si>
    <t>Thiết kế giao diện "Quản lý Lương, Chấm công &amp; Thưởng/Phạt (App)"</t>
  </si>
  <si>
    <t>Code chức năng "Quản lý Lương, Chấm công &amp; Thưởng/Phạt (App)"</t>
  </si>
  <si>
    <t>Design TestCase "Quản lý Lương, Chấm công &amp; Thưởng/Phạt (App)"</t>
  </si>
  <si>
    <t>Test chức năng "Quản lý Lương, Chấm công &amp; Thưởng/Phạt (App)"</t>
  </si>
  <si>
    <t>Thiết kế giao diện "Không gian cá nhân (App)"</t>
  </si>
  <si>
    <t>Code chức năng "Không gian cá nhân (App)"</t>
  </si>
  <si>
    <t>Design TestCase "Không gian cá nhân (App)"</t>
  </si>
  <si>
    <t>Test chức năng "Không gian cá nhân (App)"</t>
  </si>
  <si>
    <t>Thiết kế giao diện "Quản lý Khách hàng &amp; Khuyến mãi (App)"</t>
  </si>
  <si>
    <t>Code chức năng "Quản lý Khách hàng &amp; Khuyến mãi (App)"</t>
  </si>
  <si>
    <t>Design TestCase "Quản lý Khách hàng &amp; Khuyến mãi (App)"</t>
  </si>
  <si>
    <t>Test chức năng "Quản lý Khách hàng &amp; Khuyến mãi (App)"</t>
  </si>
  <si>
    <t>Thiết kế giao diện "Nhật ký hệ thống (App)"</t>
  </si>
  <si>
    <t>Code chức năng "Nhật ký hệ thống (App)"</t>
  </si>
  <si>
    <t>Design TestCase "Nhật ký hệ thống (App)"</t>
  </si>
  <si>
    <t>Test chức năng "Nhật ký hệ thống (App)"</t>
  </si>
  <si>
    <t>Thiết kế giao diện "Hệ thống Báo cáo (App)"</t>
  </si>
  <si>
    <t>Code chức năng "Hệ thống Báo cáo (App)"</t>
  </si>
  <si>
    <t>Design TestCase "Hệ thống Báo cáo (App)"</t>
  </si>
  <si>
    <t>Test chức năng "Hệ thống Báo cáo (App)"</t>
  </si>
  <si>
    <t>Thiết kế giao diện "Dashboard (Tổng quan) (App)"</t>
  </si>
  <si>
    <t>Code chức năng "Dashboard (Tổng quan) (App)"</t>
  </si>
  <si>
    <t>Design TestCase "Dashboard (Tổng quan) (App)"</t>
  </si>
  <si>
    <t>Test chức năng "Dashboard (Tổng quan) (App)"</t>
  </si>
  <si>
    <t>Release Sprint 3</t>
  </si>
  <si>
    <t>Cài đặt hệ thống (App)</t>
  </si>
  <si>
    <t>Thiết kế giao diện "Cài đặt hệ thống (App)"</t>
  </si>
  <si>
    <t>Code chức năng "Cài đặt hệ thống (App)"</t>
  </si>
  <si>
    <t>Design TestCase "Cài đặt hệ thống (App)"</t>
  </si>
  <si>
    <t>Test chức năng "Cài đặt hệ thống (App)"</t>
  </si>
  <si>
    <t>Phú, Toàn</t>
  </si>
  <si>
    <t>SPRINT 3 REPORT</t>
  </si>
  <si>
    <t>Uyên,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</si>
</sst>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7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sz val="8"/>
      <name val="Calibri"/>
      <family val="2"/>
      <charset val="163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1" fillId="9" borderId="8" xfId="0" applyFont="1" applyFill="1" applyBorder="1"/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8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2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1" fillId="11" borderId="8" xfId="0" applyFont="1" applyFill="1" applyBorder="1"/>
    <xf numFmtId="0" fontId="1" fillId="0" borderId="9" xfId="0" applyFont="1" applyBorder="1"/>
    <xf numFmtId="0" fontId="1" fillId="11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  <xf numFmtId="0" fontId="1" fillId="0" borderId="17" xfId="0" applyFont="1" applyBorder="1"/>
    <xf numFmtId="0" fontId="1" fillId="0" borderId="1" xfId="0" applyFont="1" applyFill="1" applyBorder="1"/>
    <xf numFmtId="0" fontId="1" fillId="0" borderId="0" xfId="0" applyFont="1" applyFill="1"/>
    <xf numFmtId="0" fontId="1" fillId="14" borderId="1" xfId="0" applyFont="1" applyFill="1" applyBorder="1"/>
    <xf numFmtId="0" fontId="1" fillId="14" borderId="17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2" borderId="16" xfId="0" applyFont="1" applyFill="1" applyBorder="1" applyAlignment="1"/>
    <xf numFmtId="0" fontId="1" fillId="2" borderId="1" xfId="0" applyFont="1" applyFill="1" applyBorder="1" applyAlignment="1"/>
    <xf numFmtId="0" fontId="0" fillId="0" borderId="0" xfId="0" applyFill="1" applyBorder="1"/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13" borderId="16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1" fillId="0" borderId="24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0" borderId="25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79425157478251E-2"/>
          <c:y val="1.7364737552442281E-2"/>
          <c:w val="0.88135095381012085"/>
          <c:h val="0.87276050469784783"/>
        </c:manualLayout>
      </c:layout>
      <c:lineChart>
        <c:grouping val="standard"/>
        <c:varyColors val="0"/>
        <c:ser>
          <c:idx val="0"/>
          <c:order val="0"/>
          <c:tx>
            <c:strRef>
              <c:f>'Sprint 1'!$E$111:$F$111</c:f>
              <c:strCache>
                <c:ptCount val="2"/>
                <c:pt idx="0">
                  <c:v>Thực tế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1'!$I$15:$Z$15</c:f>
              <c:numCache>
                <c:formatCode>dd/mm</c:formatCode>
                <c:ptCount val="18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  <c:pt idx="15">
                  <c:v>46115</c:v>
                </c:pt>
                <c:pt idx="16">
                  <c:v>46116</c:v>
                </c:pt>
                <c:pt idx="17">
                  <c:v>46117</c:v>
                </c:pt>
              </c:numCache>
            </c:numRef>
          </c:cat>
          <c:val>
            <c:numRef>
              <c:f>'Sprint 1'!$I$111:$Z$111</c:f>
              <c:numCache>
                <c:formatCode>General</c:formatCode>
                <c:ptCount val="18"/>
                <c:pt idx="0">
                  <c:v>234</c:v>
                </c:pt>
                <c:pt idx="1">
                  <c:v>228</c:v>
                </c:pt>
                <c:pt idx="2">
                  <c:v>212</c:v>
                </c:pt>
                <c:pt idx="3">
                  <c:v>197</c:v>
                </c:pt>
                <c:pt idx="4">
                  <c:v>184</c:v>
                </c:pt>
                <c:pt idx="5">
                  <c:v>166</c:v>
                </c:pt>
                <c:pt idx="6">
                  <c:v>149</c:v>
                </c:pt>
                <c:pt idx="7">
                  <c:v>133</c:v>
                </c:pt>
                <c:pt idx="8">
                  <c:v>115</c:v>
                </c:pt>
                <c:pt idx="9">
                  <c:v>98</c:v>
                </c:pt>
                <c:pt idx="10">
                  <c:v>95</c:v>
                </c:pt>
                <c:pt idx="11">
                  <c:v>77</c:v>
                </c:pt>
                <c:pt idx="12">
                  <c:v>58</c:v>
                </c:pt>
                <c:pt idx="13">
                  <c:v>54</c:v>
                </c:pt>
                <c:pt idx="14">
                  <c:v>39</c:v>
                </c:pt>
                <c:pt idx="15">
                  <c:v>21</c:v>
                </c:pt>
                <c:pt idx="16">
                  <c:v>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strRef>
              <c:f>'Sprint 1'!$E$112:$F$112</c:f>
              <c:strCache>
                <c:ptCount val="2"/>
                <c:pt idx="0">
                  <c:v>Ước tính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1'!$I$15:$Z$15</c:f>
              <c:numCache>
                <c:formatCode>dd/mm</c:formatCode>
                <c:ptCount val="18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  <c:pt idx="15">
                  <c:v>46115</c:v>
                </c:pt>
                <c:pt idx="16">
                  <c:v>46116</c:v>
                </c:pt>
                <c:pt idx="17">
                  <c:v>46117</c:v>
                </c:pt>
              </c:numCache>
            </c:numRef>
          </c:cat>
          <c:val>
            <c:numRef>
              <c:f>'Sprint 1'!$I$112:$Z$112</c:f>
              <c:numCache>
                <c:formatCode>General</c:formatCode>
                <c:ptCount val="18"/>
                <c:pt idx="0">
                  <c:v>234</c:v>
                </c:pt>
                <c:pt idx="1">
                  <c:v>229</c:v>
                </c:pt>
                <c:pt idx="2">
                  <c:v>213</c:v>
                </c:pt>
                <c:pt idx="3">
                  <c:v>197</c:v>
                </c:pt>
                <c:pt idx="4">
                  <c:v>181</c:v>
                </c:pt>
                <c:pt idx="5">
                  <c:v>165</c:v>
                </c:pt>
                <c:pt idx="6">
                  <c:v>149</c:v>
                </c:pt>
                <c:pt idx="7">
                  <c:v>132</c:v>
                </c:pt>
                <c:pt idx="8">
                  <c:v>116</c:v>
                </c:pt>
                <c:pt idx="9">
                  <c:v>98</c:v>
                </c:pt>
                <c:pt idx="10">
                  <c:v>93</c:v>
                </c:pt>
                <c:pt idx="11">
                  <c:v>77</c:v>
                </c:pt>
                <c:pt idx="12">
                  <c:v>58</c:v>
                </c:pt>
                <c:pt idx="13">
                  <c:v>53</c:v>
                </c:pt>
                <c:pt idx="14">
                  <c:v>37</c:v>
                </c:pt>
                <c:pt idx="15">
                  <c:v>21</c:v>
                </c:pt>
                <c:pt idx="16">
                  <c:v>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26296424"/>
        <c:axId val="226294464"/>
      </c:lineChart>
      <c:dateAx>
        <c:axId val="226296424"/>
        <c:scaling>
          <c:orientation val="minMax"/>
          <c:min val="46100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62964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62446872221591E-2"/>
          <c:y val="5.003059712120999E-2"/>
          <c:w val="0.84660288179143961"/>
          <c:h val="0.85881064926465533"/>
        </c:manualLayout>
      </c:layout>
      <c:lineChart>
        <c:grouping val="standard"/>
        <c:varyColors val="0"/>
        <c:ser>
          <c:idx val="0"/>
          <c:order val="0"/>
          <c:tx>
            <c:strRef>
              <c:f>'Sprint 2'!$E$97:$F$97</c:f>
              <c:strCache>
                <c:ptCount val="2"/>
                <c:pt idx="0">
                  <c:v>Thực tế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2'!$I$15:$AA$15</c:f>
              <c:numCache>
                <c:formatCode>dd/mm</c:formatCode>
                <c:ptCount val="19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  <c:pt idx="15">
                  <c:v>46132</c:v>
                </c:pt>
                <c:pt idx="16">
                  <c:v>46133</c:v>
                </c:pt>
                <c:pt idx="17">
                  <c:v>46134</c:v>
                </c:pt>
                <c:pt idx="18">
                  <c:v>46135</c:v>
                </c:pt>
              </c:numCache>
            </c:numRef>
          </c:cat>
          <c:val>
            <c:numRef>
              <c:f>'Sprint 2'!$I$97:$AA$97</c:f>
              <c:numCache>
                <c:formatCode>General</c:formatCode>
                <c:ptCount val="19"/>
                <c:pt idx="0">
                  <c:v>224</c:v>
                </c:pt>
                <c:pt idx="1">
                  <c:v>218.5</c:v>
                </c:pt>
                <c:pt idx="2">
                  <c:v>199</c:v>
                </c:pt>
                <c:pt idx="3">
                  <c:v>198</c:v>
                </c:pt>
                <c:pt idx="4">
                  <c:v>181.5</c:v>
                </c:pt>
                <c:pt idx="5">
                  <c:v>165.5</c:v>
                </c:pt>
                <c:pt idx="6">
                  <c:v>145.5</c:v>
                </c:pt>
                <c:pt idx="7">
                  <c:v>140.5</c:v>
                </c:pt>
                <c:pt idx="8">
                  <c:v>121.5</c:v>
                </c:pt>
                <c:pt idx="9">
                  <c:v>116.5</c:v>
                </c:pt>
                <c:pt idx="10">
                  <c:v>99.5</c:v>
                </c:pt>
                <c:pt idx="11">
                  <c:v>81.5</c:v>
                </c:pt>
                <c:pt idx="12">
                  <c:v>76</c:v>
                </c:pt>
                <c:pt idx="13">
                  <c:v>57.5</c:v>
                </c:pt>
                <c:pt idx="14">
                  <c:v>53</c:v>
                </c:pt>
                <c:pt idx="15">
                  <c:v>36.5</c:v>
                </c:pt>
                <c:pt idx="16">
                  <c:v>21.5</c:v>
                </c:pt>
                <c:pt idx="17">
                  <c:v>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strRef>
              <c:f>'Sprint 2'!$E$98:$F$98</c:f>
              <c:strCache>
                <c:ptCount val="2"/>
                <c:pt idx="0">
                  <c:v>Ước tính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2'!$I$15:$AA$15</c:f>
              <c:numCache>
                <c:formatCode>dd/mm</c:formatCode>
                <c:ptCount val="19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  <c:pt idx="15">
                  <c:v>46132</c:v>
                </c:pt>
                <c:pt idx="16">
                  <c:v>46133</c:v>
                </c:pt>
                <c:pt idx="17">
                  <c:v>46134</c:v>
                </c:pt>
                <c:pt idx="18">
                  <c:v>46135</c:v>
                </c:pt>
              </c:numCache>
            </c:numRef>
          </c:cat>
          <c:val>
            <c:numRef>
              <c:f>'Sprint 2'!$I$98:$AA$98</c:f>
              <c:numCache>
                <c:formatCode>General</c:formatCode>
                <c:ptCount val="19"/>
                <c:pt idx="0">
                  <c:v>224</c:v>
                </c:pt>
                <c:pt idx="1">
                  <c:v>218.5</c:v>
                </c:pt>
                <c:pt idx="2">
                  <c:v>199</c:v>
                </c:pt>
                <c:pt idx="3">
                  <c:v>196.5</c:v>
                </c:pt>
                <c:pt idx="4">
                  <c:v>180.5</c:v>
                </c:pt>
                <c:pt idx="5">
                  <c:v>164.5</c:v>
                </c:pt>
                <c:pt idx="6">
                  <c:v>145.5</c:v>
                </c:pt>
                <c:pt idx="7">
                  <c:v>140.5</c:v>
                </c:pt>
                <c:pt idx="8">
                  <c:v>121.5</c:v>
                </c:pt>
                <c:pt idx="9">
                  <c:v>116.5</c:v>
                </c:pt>
                <c:pt idx="10">
                  <c:v>100.5</c:v>
                </c:pt>
                <c:pt idx="11">
                  <c:v>81.5</c:v>
                </c:pt>
                <c:pt idx="12">
                  <c:v>76.5</c:v>
                </c:pt>
                <c:pt idx="13">
                  <c:v>57.5</c:v>
                </c:pt>
                <c:pt idx="14">
                  <c:v>52.5</c:v>
                </c:pt>
                <c:pt idx="15">
                  <c:v>36.5</c:v>
                </c:pt>
                <c:pt idx="16">
                  <c:v>20.5</c:v>
                </c:pt>
                <c:pt idx="17">
                  <c:v>4.5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564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62446872221591E-2"/>
          <c:y val="5.003059712120999E-2"/>
          <c:w val="0.89440512639145109"/>
          <c:h val="0.87108947336426479"/>
        </c:manualLayout>
      </c:layout>
      <c:lineChart>
        <c:grouping val="standard"/>
        <c:varyColors val="0"/>
        <c:ser>
          <c:idx val="0"/>
          <c:order val="0"/>
          <c:tx>
            <c:strRef>
              <c:f>'Sprint 3'!$E$104:$F$104</c:f>
              <c:strCache>
                <c:ptCount val="2"/>
                <c:pt idx="0">
                  <c:v>Thực tế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3'!$I$15:$Z$15</c:f>
              <c:numCache>
                <c:formatCode>dd/mm</c:formatCode>
                <c:ptCount val="18"/>
                <c:pt idx="0">
                  <c:v>46135</c:v>
                </c:pt>
                <c:pt idx="1">
                  <c:v>46136</c:v>
                </c:pt>
                <c:pt idx="2">
                  <c:v>46137</c:v>
                </c:pt>
                <c:pt idx="3">
                  <c:v>46138</c:v>
                </c:pt>
                <c:pt idx="4">
                  <c:v>46139</c:v>
                </c:pt>
                <c:pt idx="5">
                  <c:v>46140</c:v>
                </c:pt>
                <c:pt idx="6">
                  <c:v>46141</c:v>
                </c:pt>
                <c:pt idx="7">
                  <c:v>46142</c:v>
                </c:pt>
                <c:pt idx="8">
                  <c:v>46143</c:v>
                </c:pt>
                <c:pt idx="9">
                  <c:v>46144</c:v>
                </c:pt>
                <c:pt idx="10">
                  <c:v>46145</c:v>
                </c:pt>
                <c:pt idx="11">
                  <c:v>46146</c:v>
                </c:pt>
                <c:pt idx="12">
                  <c:v>46147</c:v>
                </c:pt>
                <c:pt idx="13">
                  <c:v>46148</c:v>
                </c:pt>
                <c:pt idx="14">
                  <c:v>46149</c:v>
                </c:pt>
                <c:pt idx="15">
                  <c:v>46150</c:v>
                </c:pt>
                <c:pt idx="16">
                  <c:v>46151</c:v>
                </c:pt>
                <c:pt idx="17">
                  <c:v>46152</c:v>
                </c:pt>
              </c:numCache>
            </c:numRef>
          </c:cat>
          <c:val>
            <c:numRef>
              <c:f>'Sprint 3'!$I$104:$Z$104</c:f>
              <c:numCache>
                <c:formatCode>General</c:formatCode>
                <c:ptCount val="18"/>
                <c:pt idx="0">
                  <c:v>225</c:v>
                </c:pt>
                <c:pt idx="1">
                  <c:v>220.5</c:v>
                </c:pt>
                <c:pt idx="2">
                  <c:v>201.5</c:v>
                </c:pt>
                <c:pt idx="3">
                  <c:v>199.5</c:v>
                </c:pt>
                <c:pt idx="4">
                  <c:v>180.5</c:v>
                </c:pt>
                <c:pt idx="5">
                  <c:v>161.5</c:v>
                </c:pt>
                <c:pt idx="6">
                  <c:v>159.5</c:v>
                </c:pt>
                <c:pt idx="7">
                  <c:v>136.5</c:v>
                </c:pt>
                <c:pt idx="8">
                  <c:v>120.5</c:v>
                </c:pt>
                <c:pt idx="9">
                  <c:v>105.5</c:v>
                </c:pt>
                <c:pt idx="10">
                  <c:v>101.5</c:v>
                </c:pt>
                <c:pt idx="11">
                  <c:v>84.5</c:v>
                </c:pt>
                <c:pt idx="12">
                  <c:v>68.5</c:v>
                </c:pt>
                <c:pt idx="13">
                  <c:v>52.5</c:v>
                </c:pt>
                <c:pt idx="14">
                  <c:v>38.5</c:v>
                </c:pt>
                <c:pt idx="15">
                  <c:v>22.5</c:v>
                </c:pt>
                <c:pt idx="16">
                  <c:v>4.5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8-4D7F-83AE-1C498BE6DA08}"/>
            </c:ext>
          </c:extLst>
        </c:ser>
        <c:ser>
          <c:idx val="1"/>
          <c:order val="1"/>
          <c:tx>
            <c:strRef>
              <c:f>'Sprint 3'!$E$105:$F$105</c:f>
              <c:strCache>
                <c:ptCount val="2"/>
                <c:pt idx="0">
                  <c:v>Ước tính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3'!$I$15:$Z$15</c:f>
              <c:numCache>
                <c:formatCode>dd/mm</c:formatCode>
                <c:ptCount val="18"/>
                <c:pt idx="0">
                  <c:v>46135</c:v>
                </c:pt>
                <c:pt idx="1">
                  <c:v>46136</c:v>
                </c:pt>
                <c:pt idx="2">
                  <c:v>46137</c:v>
                </c:pt>
                <c:pt idx="3">
                  <c:v>46138</c:v>
                </c:pt>
                <c:pt idx="4">
                  <c:v>46139</c:v>
                </c:pt>
                <c:pt idx="5">
                  <c:v>46140</c:v>
                </c:pt>
                <c:pt idx="6">
                  <c:v>46141</c:v>
                </c:pt>
                <c:pt idx="7">
                  <c:v>46142</c:v>
                </c:pt>
                <c:pt idx="8">
                  <c:v>46143</c:v>
                </c:pt>
                <c:pt idx="9">
                  <c:v>46144</c:v>
                </c:pt>
                <c:pt idx="10">
                  <c:v>46145</c:v>
                </c:pt>
                <c:pt idx="11">
                  <c:v>46146</c:v>
                </c:pt>
                <c:pt idx="12">
                  <c:v>46147</c:v>
                </c:pt>
                <c:pt idx="13">
                  <c:v>46148</c:v>
                </c:pt>
                <c:pt idx="14">
                  <c:v>46149</c:v>
                </c:pt>
                <c:pt idx="15">
                  <c:v>46150</c:v>
                </c:pt>
                <c:pt idx="16">
                  <c:v>46151</c:v>
                </c:pt>
                <c:pt idx="17">
                  <c:v>46152</c:v>
                </c:pt>
              </c:numCache>
            </c:numRef>
          </c:cat>
          <c:val>
            <c:numRef>
              <c:f>'Sprint 3'!$I$105:$Z$105</c:f>
              <c:numCache>
                <c:formatCode>General</c:formatCode>
                <c:ptCount val="18"/>
                <c:pt idx="0">
                  <c:v>225</c:v>
                </c:pt>
                <c:pt idx="1">
                  <c:v>220.5</c:v>
                </c:pt>
                <c:pt idx="2">
                  <c:v>201.5</c:v>
                </c:pt>
                <c:pt idx="3">
                  <c:v>196.5</c:v>
                </c:pt>
                <c:pt idx="4">
                  <c:v>180.5</c:v>
                </c:pt>
                <c:pt idx="5">
                  <c:v>161.5</c:v>
                </c:pt>
                <c:pt idx="6">
                  <c:v>156.5</c:v>
                </c:pt>
                <c:pt idx="7">
                  <c:v>135.5</c:v>
                </c:pt>
                <c:pt idx="8">
                  <c:v>119.5</c:v>
                </c:pt>
                <c:pt idx="9">
                  <c:v>105.5</c:v>
                </c:pt>
                <c:pt idx="10">
                  <c:v>100.5</c:v>
                </c:pt>
                <c:pt idx="11">
                  <c:v>84.5</c:v>
                </c:pt>
                <c:pt idx="12">
                  <c:v>68.5</c:v>
                </c:pt>
                <c:pt idx="13">
                  <c:v>52.5</c:v>
                </c:pt>
                <c:pt idx="14">
                  <c:v>36.5</c:v>
                </c:pt>
                <c:pt idx="15">
                  <c:v>20.5</c:v>
                </c:pt>
                <c:pt idx="16">
                  <c:v>4.5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78-4D7F-83AE-1C498BE6D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564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1333497</xdr:colOff>
      <xdr:row>113</xdr:row>
      <xdr:rowOff>57148</xdr:rowOff>
    </xdr:from>
    <xdr:to>
      <xdr:col>28</xdr:col>
      <xdr:colOff>108857</xdr:colOff>
      <xdr:row>164</xdr:row>
      <xdr:rowOff>97971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368831</xdr:colOff>
      <xdr:row>101</xdr:row>
      <xdr:rowOff>9598</xdr:rowOff>
    </xdr:from>
    <xdr:to>
      <xdr:col>23</xdr:col>
      <xdr:colOff>337457</xdr:colOff>
      <xdr:row>145</xdr:row>
      <xdr:rowOff>141513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112</xdr:row>
      <xdr:rowOff>0</xdr:rowOff>
    </xdr:from>
    <xdr:to>
      <xdr:col>19</xdr:col>
      <xdr:colOff>251654</xdr:colOff>
      <xdr:row>156</xdr:row>
      <xdr:rowOff>131914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2AFF78-0C4D-4E5F-BBB9-FF0ECF937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2"/>
  <sheetViews>
    <sheetView topLeftCell="B108" zoomScale="70" zoomScaleNormal="70" workbookViewId="0">
      <selection activeCell="J112" sqref="J112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5.44140625" style="1" customWidth="1"/>
    <col min="4" max="5" width="11" style="1" customWidth="1"/>
    <col min="6" max="6" width="20.5546875" style="1" customWidth="1"/>
    <col min="7" max="8" width="6.109375" style="1" customWidth="1"/>
    <col min="9" max="9" width="9.33203125" style="1" customWidth="1"/>
    <col min="10" max="10" width="9.88671875" style="1" customWidth="1"/>
    <col min="11" max="11" width="8.88671875" style="1" customWidth="1"/>
    <col min="12" max="12" width="6" style="1" customWidth="1"/>
    <col min="13" max="13" width="9.44140625" style="1" customWidth="1"/>
    <col min="14" max="14" width="8.21875" style="1" customWidth="1"/>
    <col min="15" max="15" width="9" style="1" customWidth="1"/>
    <col min="16" max="16" width="8.44140625" style="1" customWidth="1"/>
    <col min="17" max="17" width="6.44140625" style="1" customWidth="1"/>
    <col min="18" max="18" width="9.33203125" style="1" customWidth="1"/>
    <col min="19" max="19" width="6.109375" style="1" customWidth="1"/>
    <col min="20" max="20" width="8.77734375" style="1" customWidth="1"/>
    <col min="21" max="21" width="9.5546875" style="1" customWidth="1"/>
    <col min="22" max="22" width="6.109375" style="1" customWidth="1"/>
    <col min="23" max="23" width="7.88671875" style="1" customWidth="1"/>
    <col min="24" max="24" width="9.109375" style="1" customWidth="1"/>
    <col min="25" max="43" width="9.109375" style="1"/>
    <col min="44" max="44" width="10.44140625" style="1" bestFit="1" customWidth="1"/>
    <col min="45" max="16384" width="9.109375" style="1"/>
  </cols>
  <sheetData>
    <row r="1" spans="1:26" ht="34.200000000000003" thickBot="1" x14ac:dyDescent="0.35">
      <c r="A1" s="71" t="s">
        <v>3</v>
      </c>
      <c r="B1" s="71"/>
      <c r="C1" s="30" t="s">
        <v>55</v>
      </c>
      <c r="E1" s="7"/>
      <c r="F1" s="8" t="s">
        <v>34</v>
      </c>
    </row>
    <row r="2" spans="1:26" ht="17.399999999999999" thickBot="1" x14ac:dyDescent="0.35">
      <c r="A2" s="72" t="s">
        <v>2</v>
      </c>
      <c r="B2" s="72"/>
      <c r="C2" s="2" t="s">
        <v>4</v>
      </c>
      <c r="E2" s="11"/>
      <c r="F2" s="10" t="s">
        <v>31</v>
      </c>
    </row>
    <row r="3" spans="1:26" ht="17.399999999999999" thickBot="1" x14ac:dyDescent="0.35">
      <c r="A3" s="72" t="s">
        <v>1</v>
      </c>
      <c r="B3" s="72"/>
      <c r="C3" s="31" t="s">
        <v>56</v>
      </c>
      <c r="E3" s="13"/>
      <c r="F3" s="14" t="s">
        <v>29</v>
      </c>
    </row>
    <row r="4" spans="1:26" ht="17.25" customHeight="1" thickBot="1" x14ac:dyDescent="0.35">
      <c r="A4" s="72" t="s">
        <v>0</v>
      </c>
      <c r="B4" s="72"/>
      <c r="C4" s="31">
        <v>46116</v>
      </c>
    </row>
    <row r="5" spans="1:26" ht="16.5" customHeight="1" thickBot="1" x14ac:dyDescent="0.35"/>
    <row r="6" spans="1:26" ht="17.399999999999999" thickBot="1" x14ac:dyDescent="0.35">
      <c r="B6" s="73" t="s">
        <v>5</v>
      </c>
      <c r="C6" s="73"/>
      <c r="D6" s="73"/>
      <c r="E6" s="73"/>
    </row>
    <row r="7" spans="1:26" ht="17.399999999999999" thickBot="1" x14ac:dyDescent="0.35">
      <c r="B7" s="5" t="s">
        <v>6</v>
      </c>
      <c r="C7" s="5" t="s">
        <v>26</v>
      </c>
      <c r="D7" s="5" t="s">
        <v>11</v>
      </c>
      <c r="E7" s="5" t="s">
        <v>25</v>
      </c>
    </row>
    <row r="8" spans="1:26" ht="17.399999999999999" thickBot="1" x14ac:dyDescent="0.35">
      <c r="B8" s="6">
        <v>1</v>
      </c>
      <c r="C8" s="2" t="s">
        <v>50</v>
      </c>
      <c r="D8" s="2">
        <f>ROUND((SUMIF($E$16:$E$291,"*Toàn*",$H$16:$H$291) + SUMIF(E$16:$E$291,"Toàn",$H$16:$H$291))/2 + SUMIF($E$16:$E$291,"All Team",$H$16:$H$291)/5, 2)</f>
        <v>50.25</v>
      </c>
      <c r="E8" s="2">
        <f>ROUND((SUMIF($E$16:$E$291,"*Toàn*",$G$16:$G$291) + SUMIF($E$16:E$291,"Toàn",$G$16:$G$291))/2 + SUMIF($E$16:$E$291,"All Team",$G$16:$G$291)/5, 2)</f>
        <v>50.25</v>
      </c>
    </row>
    <row r="9" spans="1:26" ht="17.399999999999999" thickBot="1" x14ac:dyDescent="0.35">
      <c r="B9" s="6">
        <v>2</v>
      </c>
      <c r="C9" s="2" t="s">
        <v>51</v>
      </c>
      <c r="D9" s="2">
        <f>ROUND((SUMIF($E$16:$E$291,"*Phú*",$H$16:$H$291) + SUMIF(E$16:$E$291,"Phú",$H$16:$H$291))/2 + SUMIF($E$16:$E$291,"All Team",$H$16:$H$291)/5, 2)</f>
        <v>59</v>
      </c>
      <c r="E9" s="2">
        <f>ROUND((SUMIF($E$16:$E$291,"*Phú*",$G$16:$G$291) + SUMIF($E$16:E$291,"Phú",$G$16:$G$291))/2 + SUMIF($E$16:$E$291,"All Team",$G$16:$G$291)/5, 2)</f>
        <v>57.5</v>
      </c>
    </row>
    <row r="10" spans="1:26" ht="17.399999999999999" thickBot="1" x14ac:dyDescent="0.35">
      <c r="B10" s="6">
        <v>3</v>
      </c>
      <c r="C10" s="2" t="s">
        <v>52</v>
      </c>
      <c r="D10" s="2">
        <f>ROUND((SUMIF($E$16:$E$291,"*Tú*",$H$16:$H$291) + SUMIF(E$16:$E$291,"Tú",$H$16:$H$291))/2 + SUMIF($E$16:$E$291,"All Team",$H$16:$H$291)/5, 2)</f>
        <v>45</v>
      </c>
      <c r="E10" s="2">
        <f>ROUND((SUMIF($E$16:$E$291,"*Tú*",$G$16:$G$291) + SUMIF($E$16:E$291,"Tú",$G$16:$G$291))/2 + SUMIF($E$16:$E$291,"All Team",$G$16:$G$291)/5, 2)</f>
        <v>43.5</v>
      </c>
    </row>
    <row r="11" spans="1:26" ht="17.399999999999999" thickBot="1" x14ac:dyDescent="0.35">
      <c r="B11" s="6">
        <v>4</v>
      </c>
      <c r="C11" s="2" t="s">
        <v>53</v>
      </c>
      <c r="D11" s="2">
        <f>ROUND((SUMIF($E$16:$E$291,"*Uyên*",$H$16:$H$291) + SUMIF(E$16:$E$291,"Uyên",$H$16:$H$291))/2 + SUMIF($E$16:$E$291,"All Team",$H$16:$H$291)/5, 2)</f>
        <v>47.5</v>
      </c>
      <c r="E11" s="2">
        <f>ROUND((SUMIF($E$16:$E$291,"*Uyên*",$G$16:$G$291) + SUMIF($E$16:E$291,"Uyên",$G$16:$G$291))/2 + SUMIF($E$16:$E$291,"All Team",$G$16:$G$291)/5, 2)</f>
        <v>45.5</v>
      </c>
    </row>
    <row r="12" spans="1:26" ht="17.399999999999999" thickBot="1" x14ac:dyDescent="0.35">
      <c r="B12" s="6">
        <v>5</v>
      </c>
      <c r="C12" s="2" t="s">
        <v>54</v>
      </c>
      <c r="D12" s="2">
        <f>ROUND((SUMIF($E$16:$E$291,"*Hưng*",$H$16:$H$291) + SUMIF(E$16:$E$291,"Hưng",$H$16:$H$291))/2 + SUMIF($E$16:$E$291,"All Team",$H$16:$H$291)/5, 2)</f>
        <v>39.25</v>
      </c>
      <c r="E12" s="2">
        <f>ROUND((SUMIF($E$16:$E$291,"*Hưng*",$G$16:$G$291) + SUMIF($E$16:E$291,"Hưng",$G$16:$G$291))/2 + SUMIF($E$16:$E$291,"All Team",$G$16:$G$291)/5, 2)</f>
        <v>37.25</v>
      </c>
    </row>
    <row r="13" spans="1:26" ht="17.399999999999999" thickBot="1" x14ac:dyDescent="0.35">
      <c r="B13" s="74" t="s">
        <v>12</v>
      </c>
      <c r="C13" s="75"/>
      <c r="D13" s="4">
        <f>SUM(D8:D12)</f>
        <v>241</v>
      </c>
      <c r="E13" s="4">
        <f>SUM(E8:E12)</f>
        <v>234</v>
      </c>
    </row>
    <row r="15" spans="1:26" ht="62.25" customHeight="1" x14ac:dyDescent="0.3">
      <c r="A15" s="15" t="s">
        <v>7</v>
      </c>
      <c r="B15" s="15" t="s">
        <v>8</v>
      </c>
      <c r="C15" s="76" t="s">
        <v>9</v>
      </c>
      <c r="D15" s="77"/>
      <c r="E15" s="76" t="s">
        <v>10</v>
      </c>
      <c r="F15" s="77"/>
      <c r="G15" s="16" t="s">
        <v>25</v>
      </c>
      <c r="H15" s="16" t="s">
        <v>11</v>
      </c>
      <c r="I15" s="17">
        <v>46100</v>
      </c>
      <c r="J15" s="17">
        <v>46101</v>
      </c>
      <c r="K15" s="17">
        <v>46102</v>
      </c>
      <c r="L15" s="17">
        <v>46103</v>
      </c>
      <c r="M15" s="17">
        <v>46104</v>
      </c>
      <c r="N15" s="17">
        <v>46105</v>
      </c>
      <c r="O15" s="17">
        <v>46106</v>
      </c>
      <c r="P15" s="17">
        <v>46107</v>
      </c>
      <c r="Q15" s="17">
        <v>46108</v>
      </c>
      <c r="R15" s="17">
        <v>46109</v>
      </c>
      <c r="S15" s="17">
        <v>46110</v>
      </c>
      <c r="T15" s="17">
        <v>46111</v>
      </c>
      <c r="U15" s="17">
        <v>46112</v>
      </c>
      <c r="V15" s="17">
        <v>46113</v>
      </c>
      <c r="W15" s="17">
        <v>46114</v>
      </c>
      <c r="X15" s="17">
        <v>46115</v>
      </c>
      <c r="Y15" s="17">
        <v>46116</v>
      </c>
      <c r="Z15" s="17">
        <v>46117</v>
      </c>
    </row>
    <row r="16" spans="1:26" x14ac:dyDescent="0.3">
      <c r="A16" s="80" t="s">
        <v>4</v>
      </c>
      <c r="B16" s="61" t="s">
        <v>13</v>
      </c>
      <c r="C16" s="70"/>
      <c r="D16" s="62"/>
      <c r="E16" s="78" t="s">
        <v>40</v>
      </c>
      <c r="F16" s="79"/>
      <c r="G16" s="36">
        <v>1.5</v>
      </c>
      <c r="H16" s="36">
        <v>1.5</v>
      </c>
      <c r="I16" s="36">
        <v>1.5</v>
      </c>
      <c r="J16" s="1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8">
        <v>0</v>
      </c>
      <c r="Z16" s="38">
        <v>0</v>
      </c>
    </row>
    <row r="17" spans="1:26" x14ac:dyDescent="0.3">
      <c r="A17" s="80"/>
      <c r="B17" s="61" t="s">
        <v>14</v>
      </c>
      <c r="C17" s="70"/>
      <c r="D17" s="62"/>
      <c r="E17" s="78" t="s">
        <v>40</v>
      </c>
      <c r="F17" s="79"/>
      <c r="G17" s="36">
        <v>1.5</v>
      </c>
      <c r="H17" s="36">
        <v>1.5</v>
      </c>
      <c r="I17" s="36">
        <v>1.5</v>
      </c>
      <c r="J17" s="1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8">
        <v>0</v>
      </c>
      <c r="Z17" s="38">
        <v>0</v>
      </c>
    </row>
    <row r="18" spans="1:26" x14ac:dyDescent="0.3">
      <c r="A18" s="80"/>
      <c r="B18" s="61" t="s">
        <v>59</v>
      </c>
      <c r="C18" s="70"/>
      <c r="D18" s="62"/>
      <c r="E18" s="78" t="s">
        <v>40</v>
      </c>
      <c r="F18" s="79"/>
      <c r="G18" s="36">
        <v>1</v>
      </c>
      <c r="H18" s="36">
        <v>1</v>
      </c>
      <c r="I18" s="36">
        <v>1</v>
      </c>
      <c r="J18" s="1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</row>
    <row r="19" spans="1:26" x14ac:dyDescent="0.3">
      <c r="A19" s="80"/>
      <c r="B19" s="61" t="s">
        <v>41</v>
      </c>
      <c r="C19" s="70"/>
      <c r="D19" s="62"/>
      <c r="E19" s="78" t="s">
        <v>40</v>
      </c>
      <c r="F19" s="79"/>
      <c r="G19" s="36">
        <v>1</v>
      </c>
      <c r="H19" s="36">
        <v>1</v>
      </c>
      <c r="I19" s="36">
        <v>1</v>
      </c>
      <c r="J19" s="1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</row>
    <row r="20" spans="1:26" ht="16.8" customHeight="1" x14ac:dyDescent="0.3">
      <c r="A20" s="80"/>
      <c r="B20" s="58" t="s">
        <v>63</v>
      </c>
      <c r="C20" s="61" t="s">
        <v>64</v>
      </c>
      <c r="D20" s="62" t="s">
        <v>64</v>
      </c>
      <c r="E20" s="67" t="s">
        <v>42</v>
      </c>
      <c r="F20" s="68" t="s">
        <v>42</v>
      </c>
      <c r="G20" s="37">
        <v>2.5</v>
      </c>
      <c r="H20" s="37">
        <v>2.5</v>
      </c>
      <c r="I20" s="37">
        <v>2.5</v>
      </c>
      <c r="J20" s="37">
        <v>2.5</v>
      </c>
      <c r="K20" s="1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38">
        <v>0</v>
      </c>
      <c r="Z20" s="38">
        <v>0</v>
      </c>
    </row>
    <row r="21" spans="1:26" x14ac:dyDescent="0.3">
      <c r="A21" s="80"/>
      <c r="B21" s="60"/>
      <c r="C21" s="61" t="s">
        <v>65</v>
      </c>
      <c r="D21" s="62" t="s">
        <v>65</v>
      </c>
      <c r="E21" s="67" t="s">
        <v>46</v>
      </c>
      <c r="F21" s="68" t="s">
        <v>46</v>
      </c>
      <c r="G21" s="37">
        <v>9</v>
      </c>
      <c r="H21" s="37">
        <v>8</v>
      </c>
      <c r="I21" s="37">
        <v>9</v>
      </c>
      <c r="J21" s="37">
        <v>9</v>
      </c>
      <c r="K21" s="1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</row>
    <row r="22" spans="1:26" x14ac:dyDescent="0.3">
      <c r="A22" s="80"/>
      <c r="B22" s="60"/>
      <c r="C22" s="47"/>
      <c r="D22" s="48"/>
      <c r="E22" s="55"/>
      <c r="F22" s="56"/>
      <c r="G22" s="37"/>
      <c r="H22" s="37"/>
      <c r="I22" s="37"/>
      <c r="J22" s="37"/>
      <c r="K22" s="43">
        <v>1</v>
      </c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3">
      <c r="A23" s="80"/>
      <c r="B23" s="60"/>
      <c r="C23" s="61" t="s">
        <v>66</v>
      </c>
      <c r="D23" s="62" t="s">
        <v>66</v>
      </c>
      <c r="E23" s="67" t="s">
        <v>36</v>
      </c>
      <c r="F23" s="68" t="s">
        <v>36</v>
      </c>
      <c r="G23" s="36">
        <v>1</v>
      </c>
      <c r="H23" s="36">
        <v>1</v>
      </c>
      <c r="I23" s="36">
        <v>1</v>
      </c>
      <c r="J23" s="36">
        <v>1</v>
      </c>
      <c r="K23" s="1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</row>
    <row r="24" spans="1:26" x14ac:dyDescent="0.3">
      <c r="A24" s="80"/>
      <c r="B24" s="60"/>
      <c r="C24" s="61" t="s">
        <v>67</v>
      </c>
      <c r="D24" s="62" t="s">
        <v>67</v>
      </c>
      <c r="E24" s="65" t="s">
        <v>39</v>
      </c>
      <c r="F24" s="66" t="s">
        <v>39</v>
      </c>
      <c r="G24" s="36">
        <v>1</v>
      </c>
      <c r="H24" s="36">
        <v>1</v>
      </c>
      <c r="I24" s="36">
        <v>1</v>
      </c>
      <c r="J24" s="36">
        <v>1</v>
      </c>
      <c r="K24" s="1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</row>
    <row r="25" spans="1:26" x14ac:dyDescent="0.3">
      <c r="A25" s="80"/>
      <c r="B25" s="60"/>
      <c r="C25" s="61" t="s">
        <v>68</v>
      </c>
      <c r="D25" s="62" t="s">
        <v>68</v>
      </c>
      <c r="E25" s="65" t="s">
        <v>46</v>
      </c>
      <c r="F25" s="66" t="s">
        <v>46</v>
      </c>
      <c r="G25" s="36">
        <v>1.5</v>
      </c>
      <c r="H25" s="36">
        <v>1.5</v>
      </c>
      <c r="I25" s="36">
        <v>1.5</v>
      </c>
      <c r="J25" s="36">
        <v>1.5</v>
      </c>
      <c r="K25" s="1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</row>
    <row r="26" spans="1:26" x14ac:dyDescent="0.3">
      <c r="A26" s="80"/>
      <c r="B26" s="59"/>
      <c r="C26" s="61" t="s">
        <v>69</v>
      </c>
      <c r="D26" s="62" t="s">
        <v>69</v>
      </c>
      <c r="E26" s="65" t="s">
        <v>36</v>
      </c>
      <c r="F26" s="66" t="s">
        <v>36</v>
      </c>
      <c r="G26" s="36">
        <v>1</v>
      </c>
      <c r="H26" s="36">
        <v>1</v>
      </c>
      <c r="I26" s="36">
        <v>1</v>
      </c>
      <c r="J26" s="36">
        <v>1</v>
      </c>
      <c r="K26" s="1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</row>
    <row r="27" spans="1:26" ht="16.8" customHeight="1" x14ac:dyDescent="0.3">
      <c r="A27" s="80"/>
      <c r="B27" s="58" t="s">
        <v>70</v>
      </c>
      <c r="C27" s="61" t="s">
        <v>71</v>
      </c>
      <c r="D27" s="62" t="s">
        <v>71</v>
      </c>
      <c r="E27" s="63" t="s">
        <v>45</v>
      </c>
      <c r="F27" s="64" t="s">
        <v>45</v>
      </c>
      <c r="G27" s="37">
        <v>2.5</v>
      </c>
      <c r="H27" s="37">
        <v>2.5</v>
      </c>
      <c r="I27" s="37">
        <v>2.5</v>
      </c>
      <c r="J27" s="37">
        <v>2.5</v>
      </c>
      <c r="K27" s="37">
        <v>2.5</v>
      </c>
      <c r="L27" s="1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</row>
    <row r="28" spans="1:26" x14ac:dyDescent="0.3">
      <c r="A28" s="80"/>
      <c r="B28" s="60"/>
      <c r="C28" s="61" t="s">
        <v>72</v>
      </c>
      <c r="D28" s="62" t="s">
        <v>72</v>
      </c>
      <c r="E28" s="63" t="s">
        <v>61</v>
      </c>
      <c r="F28" s="64" t="s">
        <v>61</v>
      </c>
      <c r="G28" s="37">
        <v>9</v>
      </c>
      <c r="H28" s="37">
        <v>8</v>
      </c>
      <c r="I28" s="37">
        <v>9</v>
      </c>
      <c r="J28" s="37">
        <v>9</v>
      </c>
      <c r="K28" s="37">
        <v>9</v>
      </c>
      <c r="L28" s="1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</row>
    <row r="29" spans="1:26" x14ac:dyDescent="0.3">
      <c r="A29" s="80"/>
      <c r="B29" s="60"/>
      <c r="C29" s="47"/>
      <c r="D29" s="48"/>
      <c r="E29" s="49"/>
      <c r="F29" s="50"/>
      <c r="G29" s="37"/>
      <c r="H29" s="37"/>
      <c r="I29" s="37"/>
      <c r="J29" s="37"/>
      <c r="K29" s="37"/>
      <c r="L29" s="43">
        <v>1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3">
      <c r="A30" s="80"/>
      <c r="B30" s="60"/>
      <c r="C30" s="61" t="s">
        <v>73</v>
      </c>
      <c r="D30" s="62" t="s">
        <v>73</v>
      </c>
      <c r="E30" s="63" t="s">
        <v>38</v>
      </c>
      <c r="F30" s="64" t="s">
        <v>38</v>
      </c>
      <c r="G30" s="36">
        <v>1</v>
      </c>
      <c r="H30" s="36">
        <v>1</v>
      </c>
      <c r="I30" s="36">
        <v>1</v>
      </c>
      <c r="J30" s="36">
        <v>1</v>
      </c>
      <c r="K30" s="36">
        <v>1</v>
      </c>
      <c r="L30" s="1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8">
        <v>0</v>
      </c>
      <c r="X30" s="38">
        <v>0</v>
      </c>
      <c r="Y30" s="38">
        <v>0</v>
      </c>
      <c r="Z30" s="38">
        <v>0</v>
      </c>
    </row>
    <row r="31" spans="1:26" x14ac:dyDescent="0.3">
      <c r="A31" s="80"/>
      <c r="B31" s="60"/>
      <c r="C31" s="61" t="s">
        <v>74</v>
      </c>
      <c r="D31" s="62"/>
      <c r="E31" s="63" t="s">
        <v>35</v>
      </c>
      <c r="F31" s="64" t="s">
        <v>35</v>
      </c>
      <c r="G31" s="36">
        <v>1</v>
      </c>
      <c r="H31" s="36">
        <v>1</v>
      </c>
      <c r="I31" s="36">
        <v>1</v>
      </c>
      <c r="J31" s="36">
        <v>1</v>
      </c>
      <c r="K31" s="36">
        <v>1</v>
      </c>
      <c r="L31" s="1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</row>
    <row r="32" spans="1:26" x14ac:dyDescent="0.3">
      <c r="A32" s="80"/>
      <c r="B32" s="60"/>
      <c r="C32" s="61" t="s">
        <v>68</v>
      </c>
      <c r="D32" s="62"/>
      <c r="E32" s="63" t="s">
        <v>61</v>
      </c>
      <c r="F32" s="64" t="s">
        <v>61</v>
      </c>
      <c r="G32" s="36">
        <v>1.5</v>
      </c>
      <c r="H32" s="36">
        <v>1.5</v>
      </c>
      <c r="I32" s="36">
        <v>1.5</v>
      </c>
      <c r="J32" s="36">
        <v>1.5</v>
      </c>
      <c r="K32" s="36">
        <v>1.5</v>
      </c>
      <c r="L32" s="1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</row>
    <row r="33" spans="1:26" x14ac:dyDescent="0.3">
      <c r="A33" s="80"/>
      <c r="B33" s="59"/>
      <c r="C33" s="61" t="s">
        <v>69</v>
      </c>
      <c r="D33" s="62" t="s">
        <v>69</v>
      </c>
      <c r="E33" s="63" t="s">
        <v>39</v>
      </c>
      <c r="F33" s="64" t="s">
        <v>39</v>
      </c>
      <c r="G33" s="36">
        <v>1</v>
      </c>
      <c r="H33" s="36">
        <v>1</v>
      </c>
      <c r="I33" s="36">
        <v>1</v>
      </c>
      <c r="J33" s="36">
        <v>1</v>
      </c>
      <c r="K33" s="36">
        <v>1</v>
      </c>
      <c r="L33" s="1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</row>
    <row r="34" spans="1:26" ht="16.8" customHeight="1" x14ac:dyDescent="0.3">
      <c r="A34" s="80"/>
      <c r="B34" s="58" t="s">
        <v>75</v>
      </c>
      <c r="C34" s="61" t="s">
        <v>76</v>
      </c>
      <c r="D34" s="62" t="s">
        <v>76</v>
      </c>
      <c r="E34" s="63" t="s">
        <v>44</v>
      </c>
      <c r="F34" s="64">
        <v>2.5</v>
      </c>
      <c r="G34" s="37">
        <v>2.5</v>
      </c>
      <c r="H34" s="37">
        <v>2.5</v>
      </c>
      <c r="I34" s="37">
        <v>2.5</v>
      </c>
      <c r="J34" s="37">
        <v>2.5</v>
      </c>
      <c r="K34" s="37">
        <v>2.5</v>
      </c>
      <c r="L34" s="37">
        <v>2.5</v>
      </c>
      <c r="M34" s="1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</row>
    <row r="35" spans="1:26" x14ac:dyDescent="0.3">
      <c r="A35" s="80"/>
      <c r="B35" s="60"/>
      <c r="C35" s="61" t="s">
        <v>77</v>
      </c>
      <c r="D35" s="62" t="s">
        <v>77</v>
      </c>
      <c r="E35" s="63" t="s">
        <v>48</v>
      </c>
      <c r="F35" s="64">
        <v>9</v>
      </c>
      <c r="G35" s="37">
        <v>9</v>
      </c>
      <c r="H35" s="37">
        <v>9</v>
      </c>
      <c r="I35" s="37">
        <v>9</v>
      </c>
      <c r="J35" s="37">
        <v>9</v>
      </c>
      <c r="K35" s="37">
        <v>9</v>
      </c>
      <c r="L35" s="37">
        <v>9</v>
      </c>
      <c r="M35" s="1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</row>
    <row r="36" spans="1:26" x14ac:dyDescent="0.3">
      <c r="A36" s="80"/>
      <c r="B36" s="60"/>
      <c r="C36" s="61" t="s">
        <v>78</v>
      </c>
      <c r="D36" s="62" t="s">
        <v>78</v>
      </c>
      <c r="E36" s="63" t="s">
        <v>35</v>
      </c>
      <c r="F36" s="64">
        <v>1</v>
      </c>
      <c r="G36" s="36">
        <v>1</v>
      </c>
      <c r="H36" s="36">
        <v>1</v>
      </c>
      <c r="I36" s="36">
        <v>1</v>
      </c>
      <c r="J36" s="36">
        <v>1</v>
      </c>
      <c r="K36" s="36">
        <v>1</v>
      </c>
      <c r="L36" s="36">
        <v>1</v>
      </c>
      <c r="M36" s="1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</row>
    <row r="37" spans="1:26" x14ac:dyDescent="0.3">
      <c r="A37" s="80"/>
      <c r="B37" s="60"/>
      <c r="C37" s="61" t="s">
        <v>79</v>
      </c>
      <c r="D37" s="62" t="s">
        <v>79</v>
      </c>
      <c r="E37" s="63" t="s">
        <v>37</v>
      </c>
      <c r="F37" s="64">
        <v>1</v>
      </c>
      <c r="G37" s="36">
        <v>1</v>
      </c>
      <c r="H37" s="36">
        <v>1</v>
      </c>
      <c r="I37" s="36">
        <v>1</v>
      </c>
      <c r="J37" s="36">
        <v>1</v>
      </c>
      <c r="K37" s="36">
        <v>1</v>
      </c>
      <c r="L37" s="36">
        <v>1</v>
      </c>
      <c r="M37" s="1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</row>
    <row r="38" spans="1:26" x14ac:dyDescent="0.3">
      <c r="A38" s="80"/>
      <c r="B38" s="60"/>
      <c r="C38" s="61" t="s">
        <v>68</v>
      </c>
      <c r="D38" s="62" t="s">
        <v>68</v>
      </c>
      <c r="E38" s="63" t="s">
        <v>48</v>
      </c>
      <c r="F38" s="64">
        <v>1.5</v>
      </c>
      <c r="G38" s="36">
        <v>1.5</v>
      </c>
      <c r="H38" s="36">
        <v>1.5</v>
      </c>
      <c r="I38" s="36">
        <v>1.5</v>
      </c>
      <c r="J38" s="36">
        <v>1.5</v>
      </c>
      <c r="K38" s="36">
        <v>1.5</v>
      </c>
      <c r="L38" s="36">
        <v>1.5</v>
      </c>
      <c r="M38" s="1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</row>
    <row r="39" spans="1:26" x14ac:dyDescent="0.3">
      <c r="A39" s="80"/>
      <c r="B39" s="59"/>
      <c r="C39" s="61" t="s">
        <v>69</v>
      </c>
      <c r="D39" s="62" t="s">
        <v>69</v>
      </c>
      <c r="E39" s="63" t="s">
        <v>38</v>
      </c>
      <c r="F39" s="64">
        <v>1</v>
      </c>
      <c r="G39" s="36">
        <v>1</v>
      </c>
      <c r="H39" s="36">
        <v>1</v>
      </c>
      <c r="I39" s="36">
        <v>1</v>
      </c>
      <c r="J39" s="36">
        <v>1</v>
      </c>
      <c r="K39" s="36">
        <v>1</v>
      </c>
      <c r="L39" s="36">
        <v>1</v>
      </c>
      <c r="M39" s="1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</row>
    <row r="40" spans="1:26" ht="16.8" customHeight="1" x14ac:dyDescent="0.3">
      <c r="A40" s="80"/>
      <c r="B40" s="58" t="s">
        <v>80</v>
      </c>
      <c r="C40" s="61" t="s">
        <v>81</v>
      </c>
      <c r="D40" s="62" t="s">
        <v>81</v>
      </c>
      <c r="E40" s="63" t="s">
        <v>45</v>
      </c>
      <c r="F40" s="64" t="s">
        <v>45</v>
      </c>
      <c r="G40" s="37">
        <v>2.5</v>
      </c>
      <c r="H40" s="37">
        <v>2.5</v>
      </c>
      <c r="I40" s="37">
        <v>2.5</v>
      </c>
      <c r="J40" s="37">
        <v>2.5</v>
      </c>
      <c r="K40" s="37">
        <v>2.5</v>
      </c>
      <c r="L40" s="37">
        <v>2.5</v>
      </c>
      <c r="M40" s="37">
        <v>2.5</v>
      </c>
      <c r="N40" s="1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8">
        <v>0</v>
      </c>
      <c r="X40" s="38">
        <v>0</v>
      </c>
      <c r="Y40" s="38">
        <v>0</v>
      </c>
      <c r="Z40" s="38">
        <v>0</v>
      </c>
    </row>
    <row r="41" spans="1:26" x14ac:dyDescent="0.3">
      <c r="A41" s="80"/>
      <c r="B41" s="60"/>
      <c r="C41" s="61" t="s">
        <v>82</v>
      </c>
      <c r="D41" s="62" t="s">
        <v>82</v>
      </c>
      <c r="E41" s="63" t="s">
        <v>46</v>
      </c>
      <c r="F41" s="64" t="s">
        <v>46</v>
      </c>
      <c r="G41" s="37">
        <v>9</v>
      </c>
      <c r="H41" s="37">
        <v>11</v>
      </c>
      <c r="I41" s="37">
        <v>9</v>
      </c>
      <c r="J41" s="37">
        <v>9</v>
      </c>
      <c r="K41" s="37">
        <v>9</v>
      </c>
      <c r="L41" s="37">
        <v>9</v>
      </c>
      <c r="M41" s="37">
        <v>9</v>
      </c>
      <c r="N41" s="1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8">
        <v>0</v>
      </c>
      <c r="X41" s="38">
        <v>0</v>
      </c>
      <c r="Y41" s="38">
        <v>0</v>
      </c>
      <c r="Z41" s="38">
        <v>0</v>
      </c>
    </row>
    <row r="42" spans="1:26" x14ac:dyDescent="0.3">
      <c r="A42" s="80"/>
      <c r="B42" s="60"/>
      <c r="C42" s="47"/>
      <c r="D42" s="48"/>
      <c r="E42" s="49"/>
      <c r="F42" s="50"/>
      <c r="G42" s="37"/>
      <c r="H42" s="37"/>
      <c r="I42" s="37"/>
      <c r="J42" s="37"/>
      <c r="K42" s="37"/>
      <c r="L42" s="37"/>
      <c r="M42" s="37"/>
      <c r="N42" s="42">
        <v>2</v>
      </c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3">
      <c r="A43" s="80"/>
      <c r="B43" s="60"/>
      <c r="C43" s="61" t="s">
        <v>83</v>
      </c>
      <c r="D43" s="62" t="s">
        <v>83</v>
      </c>
      <c r="E43" s="63" t="s">
        <v>36</v>
      </c>
      <c r="F43" s="64" t="s">
        <v>36</v>
      </c>
      <c r="G43" s="36">
        <v>1</v>
      </c>
      <c r="H43" s="36">
        <v>1</v>
      </c>
      <c r="I43" s="36">
        <v>1</v>
      </c>
      <c r="J43" s="36">
        <v>1</v>
      </c>
      <c r="K43" s="36">
        <v>1</v>
      </c>
      <c r="L43" s="36">
        <v>1</v>
      </c>
      <c r="M43" s="36">
        <v>1</v>
      </c>
      <c r="N43" s="1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</row>
    <row r="44" spans="1:26" x14ac:dyDescent="0.3">
      <c r="A44" s="80"/>
      <c r="B44" s="60"/>
      <c r="C44" s="61" t="s">
        <v>84</v>
      </c>
      <c r="D44" s="62" t="s">
        <v>84</v>
      </c>
      <c r="E44" s="63" t="s">
        <v>39</v>
      </c>
      <c r="F44" s="64" t="s">
        <v>39</v>
      </c>
      <c r="G44" s="36">
        <v>1</v>
      </c>
      <c r="H44" s="36">
        <v>2</v>
      </c>
      <c r="I44" s="36">
        <v>1</v>
      </c>
      <c r="J44" s="36">
        <v>1</v>
      </c>
      <c r="K44" s="36">
        <v>1</v>
      </c>
      <c r="L44" s="36">
        <v>1</v>
      </c>
      <c r="M44" s="36">
        <v>1</v>
      </c>
      <c r="N44" s="18">
        <v>0</v>
      </c>
      <c r="O44" s="38">
        <v>0</v>
      </c>
      <c r="P44" s="38">
        <v>0</v>
      </c>
      <c r="Q44" s="38">
        <v>0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8">
        <v>0</v>
      </c>
      <c r="X44" s="38">
        <v>0</v>
      </c>
      <c r="Y44" s="38">
        <v>0</v>
      </c>
      <c r="Z44" s="38">
        <v>0</v>
      </c>
    </row>
    <row r="45" spans="1:26" x14ac:dyDescent="0.3">
      <c r="A45" s="80"/>
      <c r="B45" s="60"/>
      <c r="C45" s="47"/>
      <c r="D45" s="48"/>
      <c r="E45" s="49"/>
      <c r="F45" s="50"/>
      <c r="G45" s="36"/>
      <c r="H45" s="36"/>
      <c r="I45" s="36"/>
      <c r="J45" s="36"/>
      <c r="K45" s="36"/>
      <c r="L45" s="36"/>
      <c r="M45" s="36"/>
      <c r="N45" s="42">
        <v>1</v>
      </c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3">
      <c r="A46" s="80"/>
      <c r="B46" s="60"/>
      <c r="C46" s="61" t="s">
        <v>68</v>
      </c>
      <c r="D46" s="62" t="s">
        <v>68</v>
      </c>
      <c r="E46" s="63" t="s">
        <v>46</v>
      </c>
      <c r="F46" s="64" t="s">
        <v>46</v>
      </c>
      <c r="G46" s="36">
        <v>1.5</v>
      </c>
      <c r="H46" s="36">
        <v>1.5</v>
      </c>
      <c r="I46" s="36">
        <v>1.5</v>
      </c>
      <c r="J46" s="36">
        <v>1.5</v>
      </c>
      <c r="K46" s="36">
        <v>1.5</v>
      </c>
      <c r="L46" s="36">
        <v>1.5</v>
      </c>
      <c r="M46" s="36">
        <v>1.5</v>
      </c>
      <c r="N46" s="1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8">
        <v>0</v>
      </c>
      <c r="X46" s="38">
        <v>0</v>
      </c>
      <c r="Y46" s="38">
        <v>0</v>
      </c>
      <c r="Z46" s="38">
        <v>0</v>
      </c>
    </row>
    <row r="47" spans="1:26" x14ac:dyDescent="0.3">
      <c r="A47" s="80"/>
      <c r="B47" s="59"/>
      <c r="C47" s="61" t="s">
        <v>69</v>
      </c>
      <c r="D47" s="62" t="s">
        <v>69</v>
      </c>
      <c r="E47" s="63" t="s">
        <v>36</v>
      </c>
      <c r="F47" s="64" t="s">
        <v>36</v>
      </c>
      <c r="G47" s="36">
        <v>1</v>
      </c>
      <c r="H47" s="36">
        <v>1</v>
      </c>
      <c r="I47" s="36">
        <v>1</v>
      </c>
      <c r="J47" s="36">
        <v>1</v>
      </c>
      <c r="K47" s="36">
        <v>1</v>
      </c>
      <c r="L47" s="36">
        <v>1</v>
      </c>
      <c r="M47" s="36">
        <v>1</v>
      </c>
      <c r="N47" s="1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8">
        <v>0</v>
      </c>
      <c r="X47" s="38">
        <v>0</v>
      </c>
      <c r="Y47" s="38">
        <v>0</v>
      </c>
      <c r="Z47" s="38">
        <v>0</v>
      </c>
    </row>
    <row r="48" spans="1:26" ht="16.8" customHeight="1" x14ac:dyDescent="0.3">
      <c r="A48" s="80"/>
      <c r="B48" s="58" t="s">
        <v>89</v>
      </c>
      <c r="C48" s="61" t="s">
        <v>85</v>
      </c>
      <c r="D48" s="62" t="s">
        <v>85</v>
      </c>
      <c r="E48" s="63" t="s">
        <v>44</v>
      </c>
      <c r="F48" s="64" t="s">
        <v>44</v>
      </c>
      <c r="G48" s="37">
        <v>2.5</v>
      </c>
      <c r="H48" s="37">
        <v>3.5</v>
      </c>
      <c r="I48" s="37">
        <v>2.5</v>
      </c>
      <c r="J48" s="37">
        <v>2.5</v>
      </c>
      <c r="K48" s="37">
        <v>2.5</v>
      </c>
      <c r="L48" s="37">
        <v>2.5</v>
      </c>
      <c r="M48" s="37">
        <v>2.5</v>
      </c>
      <c r="N48" s="37">
        <v>2.5</v>
      </c>
      <c r="O48" s="1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0</v>
      </c>
      <c r="Z48" s="38">
        <v>0</v>
      </c>
    </row>
    <row r="49" spans="1:26" ht="16.8" customHeight="1" x14ac:dyDescent="0.3">
      <c r="A49" s="80"/>
      <c r="B49" s="60"/>
      <c r="C49" s="47"/>
      <c r="D49" s="48"/>
      <c r="E49" s="49"/>
      <c r="F49" s="50"/>
      <c r="G49" s="37"/>
      <c r="H49" s="37"/>
      <c r="I49" s="37"/>
      <c r="J49" s="37"/>
      <c r="K49" s="37"/>
      <c r="L49" s="37"/>
      <c r="M49" s="37"/>
      <c r="N49" s="37"/>
      <c r="O49" s="42">
        <v>1</v>
      </c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3">
      <c r="A50" s="80"/>
      <c r="B50" s="60"/>
      <c r="C50" s="61" t="s">
        <v>86</v>
      </c>
      <c r="D50" s="62" t="s">
        <v>86</v>
      </c>
      <c r="E50" s="63" t="s">
        <v>48</v>
      </c>
      <c r="F50" s="64" t="s">
        <v>48</v>
      </c>
      <c r="G50" s="37">
        <v>9</v>
      </c>
      <c r="H50" s="37">
        <v>9</v>
      </c>
      <c r="I50" s="37">
        <v>9</v>
      </c>
      <c r="J50" s="37">
        <v>9</v>
      </c>
      <c r="K50" s="37">
        <v>9</v>
      </c>
      <c r="L50" s="37">
        <v>9</v>
      </c>
      <c r="M50" s="37">
        <v>9</v>
      </c>
      <c r="N50" s="37">
        <v>9</v>
      </c>
      <c r="O50" s="18">
        <v>0</v>
      </c>
      <c r="P50" s="38">
        <v>0</v>
      </c>
      <c r="Q50" s="38">
        <v>0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8">
        <v>0</v>
      </c>
      <c r="X50" s="38">
        <v>0</v>
      </c>
      <c r="Y50" s="38">
        <v>0</v>
      </c>
      <c r="Z50" s="38">
        <v>0</v>
      </c>
    </row>
    <row r="51" spans="1:26" x14ac:dyDescent="0.3">
      <c r="A51" s="80"/>
      <c r="B51" s="60"/>
      <c r="C51" s="61" t="s">
        <v>87</v>
      </c>
      <c r="D51" s="62" t="s">
        <v>87</v>
      </c>
      <c r="E51" s="63" t="s">
        <v>35</v>
      </c>
      <c r="F51" s="64" t="s">
        <v>35</v>
      </c>
      <c r="G51" s="36">
        <v>1</v>
      </c>
      <c r="H51" s="36">
        <v>1</v>
      </c>
      <c r="I51" s="36">
        <v>1</v>
      </c>
      <c r="J51" s="36">
        <v>1</v>
      </c>
      <c r="K51" s="36">
        <v>1</v>
      </c>
      <c r="L51" s="36">
        <v>1</v>
      </c>
      <c r="M51" s="36">
        <v>1</v>
      </c>
      <c r="N51" s="36">
        <v>1</v>
      </c>
      <c r="O51" s="18">
        <v>0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8">
        <v>0</v>
      </c>
      <c r="X51" s="38">
        <v>0</v>
      </c>
      <c r="Y51" s="38">
        <v>0</v>
      </c>
      <c r="Z51" s="38">
        <v>0</v>
      </c>
    </row>
    <row r="52" spans="1:26" x14ac:dyDescent="0.3">
      <c r="A52" s="80"/>
      <c r="B52" s="60"/>
      <c r="C52" s="61" t="s">
        <v>88</v>
      </c>
      <c r="D52" s="62" t="s">
        <v>88</v>
      </c>
      <c r="E52" s="63" t="s">
        <v>37</v>
      </c>
      <c r="F52" s="64" t="s">
        <v>37</v>
      </c>
      <c r="G52" s="36">
        <v>1</v>
      </c>
      <c r="H52" s="36">
        <v>1</v>
      </c>
      <c r="I52" s="36">
        <v>1</v>
      </c>
      <c r="J52" s="36">
        <v>1</v>
      </c>
      <c r="K52" s="36">
        <v>1</v>
      </c>
      <c r="L52" s="36">
        <v>1</v>
      </c>
      <c r="M52" s="36">
        <v>1</v>
      </c>
      <c r="N52" s="36">
        <v>1</v>
      </c>
      <c r="O52" s="1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8">
        <v>0</v>
      </c>
      <c r="X52" s="38">
        <v>0</v>
      </c>
      <c r="Y52" s="38">
        <v>0</v>
      </c>
      <c r="Z52" s="38">
        <v>0</v>
      </c>
    </row>
    <row r="53" spans="1:26" x14ac:dyDescent="0.3">
      <c r="A53" s="80"/>
      <c r="B53" s="60"/>
      <c r="C53" s="61" t="s">
        <v>68</v>
      </c>
      <c r="D53" s="62" t="s">
        <v>68</v>
      </c>
      <c r="E53" s="63" t="s">
        <v>48</v>
      </c>
      <c r="F53" s="64" t="s">
        <v>48</v>
      </c>
      <c r="G53" s="36">
        <v>1.5</v>
      </c>
      <c r="H53" s="36">
        <v>1.5</v>
      </c>
      <c r="I53" s="36">
        <v>1.5</v>
      </c>
      <c r="J53" s="36">
        <v>1.5</v>
      </c>
      <c r="K53" s="36">
        <v>1.5</v>
      </c>
      <c r="L53" s="36">
        <v>1.5</v>
      </c>
      <c r="M53" s="36">
        <v>1.5</v>
      </c>
      <c r="N53" s="36">
        <v>1.5</v>
      </c>
      <c r="O53" s="1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8">
        <v>0</v>
      </c>
      <c r="X53" s="38">
        <v>0</v>
      </c>
      <c r="Y53" s="38">
        <v>0</v>
      </c>
      <c r="Z53" s="38">
        <v>0</v>
      </c>
    </row>
    <row r="54" spans="1:26" x14ac:dyDescent="0.3">
      <c r="A54" s="80"/>
      <c r="B54" s="59"/>
      <c r="C54" s="61" t="s">
        <v>69</v>
      </c>
      <c r="D54" s="62" t="s">
        <v>69</v>
      </c>
      <c r="E54" s="63" t="s">
        <v>38</v>
      </c>
      <c r="F54" s="64" t="s">
        <v>38</v>
      </c>
      <c r="G54" s="36">
        <v>1</v>
      </c>
      <c r="H54" s="36">
        <v>1</v>
      </c>
      <c r="I54" s="36">
        <v>1</v>
      </c>
      <c r="J54" s="36">
        <v>1</v>
      </c>
      <c r="K54" s="36">
        <v>1</v>
      </c>
      <c r="L54" s="36">
        <v>1</v>
      </c>
      <c r="M54" s="36">
        <v>1</v>
      </c>
      <c r="N54" s="36">
        <v>1</v>
      </c>
      <c r="O54" s="18">
        <v>0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0</v>
      </c>
      <c r="Z54" s="38">
        <v>0</v>
      </c>
    </row>
    <row r="55" spans="1:26" ht="16.8" customHeight="1" x14ac:dyDescent="0.3">
      <c r="A55" s="80"/>
      <c r="B55" s="58" t="s">
        <v>90</v>
      </c>
      <c r="C55" s="61" t="s">
        <v>91</v>
      </c>
      <c r="D55" s="62" t="s">
        <v>91</v>
      </c>
      <c r="E55" s="63" t="s">
        <v>45</v>
      </c>
      <c r="F55" s="64" t="s">
        <v>45</v>
      </c>
      <c r="G55" s="37">
        <v>2.5</v>
      </c>
      <c r="H55" s="37">
        <v>2.5</v>
      </c>
      <c r="I55" s="37">
        <v>2.5</v>
      </c>
      <c r="J55" s="37">
        <v>2.5</v>
      </c>
      <c r="K55" s="37">
        <v>2.5</v>
      </c>
      <c r="L55" s="37">
        <v>2.5</v>
      </c>
      <c r="M55" s="37">
        <v>2.5</v>
      </c>
      <c r="N55" s="37">
        <v>2.5</v>
      </c>
      <c r="O55" s="37">
        <v>2.5</v>
      </c>
      <c r="P55" s="18">
        <v>0</v>
      </c>
      <c r="Q55" s="38">
        <v>0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8">
        <v>0</v>
      </c>
      <c r="X55" s="38">
        <v>0</v>
      </c>
      <c r="Y55" s="38">
        <v>0</v>
      </c>
      <c r="Z55" s="38">
        <v>0</v>
      </c>
    </row>
    <row r="56" spans="1:26" x14ac:dyDescent="0.3">
      <c r="A56" s="80"/>
      <c r="B56" s="60"/>
      <c r="C56" s="61" t="s">
        <v>92</v>
      </c>
      <c r="D56" s="62" t="s">
        <v>92</v>
      </c>
      <c r="E56" s="63" t="s">
        <v>49</v>
      </c>
      <c r="F56" s="64" t="s">
        <v>49</v>
      </c>
      <c r="G56" s="37">
        <v>9</v>
      </c>
      <c r="H56" s="37">
        <v>9</v>
      </c>
      <c r="I56" s="37">
        <v>9</v>
      </c>
      <c r="J56" s="37">
        <v>9</v>
      </c>
      <c r="K56" s="37">
        <v>9</v>
      </c>
      <c r="L56" s="37">
        <v>9</v>
      </c>
      <c r="M56" s="37">
        <v>9</v>
      </c>
      <c r="N56" s="37">
        <v>9</v>
      </c>
      <c r="O56" s="37">
        <v>9</v>
      </c>
      <c r="P56" s="18">
        <v>0</v>
      </c>
      <c r="Q56" s="38">
        <v>0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0</v>
      </c>
      <c r="Z56" s="38">
        <v>0</v>
      </c>
    </row>
    <row r="57" spans="1:26" x14ac:dyDescent="0.3">
      <c r="A57" s="80"/>
      <c r="B57" s="60"/>
      <c r="C57" s="61" t="s">
        <v>93</v>
      </c>
      <c r="D57" s="62" t="s">
        <v>93</v>
      </c>
      <c r="E57" s="63" t="s">
        <v>36</v>
      </c>
      <c r="F57" s="64" t="s">
        <v>36</v>
      </c>
      <c r="G57" s="36">
        <v>1</v>
      </c>
      <c r="H57" s="36">
        <v>1</v>
      </c>
      <c r="I57" s="36">
        <v>1</v>
      </c>
      <c r="J57" s="36">
        <v>1</v>
      </c>
      <c r="K57" s="36">
        <v>1</v>
      </c>
      <c r="L57" s="36">
        <v>1</v>
      </c>
      <c r="M57" s="36">
        <v>1</v>
      </c>
      <c r="N57" s="36">
        <v>1</v>
      </c>
      <c r="O57" s="36">
        <v>1</v>
      </c>
      <c r="P57" s="1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8">
        <v>0</v>
      </c>
      <c r="X57" s="38">
        <v>0</v>
      </c>
      <c r="Y57" s="38">
        <v>0</v>
      </c>
      <c r="Z57" s="38">
        <v>0</v>
      </c>
    </row>
    <row r="58" spans="1:26" x14ac:dyDescent="0.3">
      <c r="A58" s="80"/>
      <c r="B58" s="60"/>
      <c r="C58" s="61" t="s">
        <v>94</v>
      </c>
      <c r="D58" s="62" t="s">
        <v>94</v>
      </c>
      <c r="E58" s="63" t="s">
        <v>38</v>
      </c>
      <c r="F58" s="64" t="s">
        <v>38</v>
      </c>
      <c r="G58" s="36">
        <v>1</v>
      </c>
      <c r="H58" s="36">
        <v>1</v>
      </c>
      <c r="I58" s="36">
        <v>1</v>
      </c>
      <c r="J58" s="36">
        <v>1</v>
      </c>
      <c r="K58" s="36">
        <v>1</v>
      </c>
      <c r="L58" s="36">
        <v>1</v>
      </c>
      <c r="M58" s="36">
        <v>1</v>
      </c>
      <c r="N58" s="36">
        <v>1</v>
      </c>
      <c r="O58" s="36">
        <v>1</v>
      </c>
      <c r="P58" s="18">
        <v>0</v>
      </c>
      <c r="Q58" s="38">
        <v>0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8">
        <v>0</v>
      </c>
      <c r="X58" s="38">
        <v>0</v>
      </c>
      <c r="Y58" s="38">
        <v>0</v>
      </c>
      <c r="Z58" s="38">
        <v>0</v>
      </c>
    </row>
    <row r="59" spans="1:26" x14ac:dyDescent="0.3">
      <c r="A59" s="80"/>
      <c r="B59" s="60"/>
      <c r="C59" s="61" t="s">
        <v>68</v>
      </c>
      <c r="D59" s="62" t="s">
        <v>68</v>
      </c>
      <c r="E59" s="63" t="s">
        <v>49</v>
      </c>
      <c r="F59" s="64" t="s">
        <v>49</v>
      </c>
      <c r="G59" s="36">
        <v>1.5</v>
      </c>
      <c r="H59" s="36">
        <v>1.5</v>
      </c>
      <c r="I59" s="36">
        <v>1.5</v>
      </c>
      <c r="J59" s="36">
        <v>1.5</v>
      </c>
      <c r="K59" s="36">
        <v>1.5</v>
      </c>
      <c r="L59" s="36">
        <v>1.5</v>
      </c>
      <c r="M59" s="36">
        <v>1.5</v>
      </c>
      <c r="N59" s="36">
        <v>1.5</v>
      </c>
      <c r="O59" s="36">
        <v>1.5</v>
      </c>
      <c r="P59" s="18">
        <v>0</v>
      </c>
      <c r="Q59" s="38">
        <v>0</v>
      </c>
      <c r="R59" s="38">
        <v>0</v>
      </c>
      <c r="S59" s="38">
        <v>0</v>
      </c>
      <c r="T59" s="38">
        <v>0</v>
      </c>
      <c r="U59" s="38">
        <v>0</v>
      </c>
      <c r="V59" s="38">
        <v>0</v>
      </c>
      <c r="W59" s="38">
        <v>0</v>
      </c>
      <c r="X59" s="38">
        <v>0</v>
      </c>
      <c r="Y59" s="38">
        <v>0</v>
      </c>
      <c r="Z59" s="38">
        <v>0</v>
      </c>
    </row>
    <row r="60" spans="1:26" x14ac:dyDescent="0.3">
      <c r="A60" s="80"/>
      <c r="B60" s="59"/>
      <c r="C60" s="61" t="s">
        <v>69</v>
      </c>
      <c r="D60" s="62" t="s">
        <v>69</v>
      </c>
      <c r="E60" s="63" t="s">
        <v>36</v>
      </c>
      <c r="F60" s="64" t="s">
        <v>36</v>
      </c>
      <c r="G60" s="36">
        <v>1</v>
      </c>
      <c r="H60" s="36">
        <v>1</v>
      </c>
      <c r="I60" s="36">
        <v>1</v>
      </c>
      <c r="J60" s="36">
        <v>1</v>
      </c>
      <c r="K60" s="36">
        <v>1</v>
      </c>
      <c r="L60" s="36">
        <v>1</v>
      </c>
      <c r="M60" s="36">
        <v>1</v>
      </c>
      <c r="N60" s="36">
        <v>1</v>
      </c>
      <c r="O60" s="36">
        <v>1</v>
      </c>
      <c r="P60" s="1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8">
        <v>0</v>
      </c>
      <c r="X60" s="38">
        <v>0</v>
      </c>
      <c r="Y60" s="38">
        <v>0</v>
      </c>
      <c r="Z60" s="38">
        <v>0</v>
      </c>
    </row>
    <row r="61" spans="1:26" ht="16.8" customHeight="1" x14ac:dyDescent="0.3">
      <c r="A61" s="80"/>
      <c r="B61" s="58" t="s">
        <v>95</v>
      </c>
      <c r="C61" s="61" t="s">
        <v>102</v>
      </c>
      <c r="D61" s="62" t="s">
        <v>102</v>
      </c>
      <c r="E61" s="63" t="s">
        <v>44</v>
      </c>
      <c r="F61" s="64" t="s">
        <v>44</v>
      </c>
      <c r="G61" s="36">
        <v>2.5</v>
      </c>
      <c r="H61" s="36">
        <v>3.5</v>
      </c>
      <c r="I61" s="36">
        <v>2.5</v>
      </c>
      <c r="J61" s="36">
        <v>2.5</v>
      </c>
      <c r="K61" s="36">
        <v>2.5</v>
      </c>
      <c r="L61" s="36">
        <v>2.5</v>
      </c>
      <c r="M61" s="36">
        <v>2.5</v>
      </c>
      <c r="N61" s="36">
        <v>2.5</v>
      </c>
      <c r="O61" s="36">
        <v>2.5</v>
      </c>
      <c r="P61" s="36">
        <v>2.5</v>
      </c>
      <c r="Q61" s="18">
        <v>0</v>
      </c>
      <c r="R61" s="38">
        <v>0</v>
      </c>
      <c r="S61" s="38">
        <v>0</v>
      </c>
      <c r="T61" s="38">
        <v>0</v>
      </c>
      <c r="U61" s="38">
        <v>0</v>
      </c>
      <c r="V61" s="38">
        <v>0</v>
      </c>
      <c r="W61" s="38">
        <v>0</v>
      </c>
      <c r="X61" s="38">
        <v>0</v>
      </c>
      <c r="Y61" s="38">
        <v>0</v>
      </c>
      <c r="Z61" s="38">
        <v>0</v>
      </c>
    </row>
    <row r="62" spans="1:26" ht="16.8" customHeight="1" x14ac:dyDescent="0.3">
      <c r="A62" s="80"/>
      <c r="B62" s="60"/>
      <c r="C62" s="47"/>
      <c r="D62" s="48"/>
      <c r="E62" s="49"/>
      <c r="F62" s="50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42">
        <v>1</v>
      </c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3">
      <c r="A63" s="80"/>
      <c r="B63" s="60"/>
      <c r="C63" s="61" t="s">
        <v>103</v>
      </c>
      <c r="D63" s="62" t="s">
        <v>103</v>
      </c>
      <c r="E63" s="63" t="s">
        <v>47</v>
      </c>
      <c r="F63" s="64" t="s">
        <v>47</v>
      </c>
      <c r="G63" s="36">
        <v>9</v>
      </c>
      <c r="H63" s="36">
        <v>9</v>
      </c>
      <c r="I63" s="36">
        <v>9</v>
      </c>
      <c r="J63" s="36">
        <v>9</v>
      </c>
      <c r="K63" s="36">
        <v>9</v>
      </c>
      <c r="L63" s="36">
        <v>9</v>
      </c>
      <c r="M63" s="36">
        <v>9</v>
      </c>
      <c r="N63" s="36">
        <v>9</v>
      </c>
      <c r="O63" s="36">
        <v>9</v>
      </c>
      <c r="P63" s="36">
        <v>9</v>
      </c>
      <c r="Q63" s="1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8">
        <v>0</v>
      </c>
      <c r="X63" s="38">
        <v>0</v>
      </c>
      <c r="Y63" s="38">
        <v>0</v>
      </c>
      <c r="Z63" s="38">
        <v>0</v>
      </c>
    </row>
    <row r="64" spans="1:26" x14ac:dyDescent="0.3">
      <c r="A64" s="80"/>
      <c r="B64" s="60"/>
      <c r="C64" s="61" t="s">
        <v>104</v>
      </c>
      <c r="D64" s="62" t="s">
        <v>104</v>
      </c>
      <c r="E64" s="63" t="s">
        <v>36</v>
      </c>
      <c r="F64" s="64" t="s">
        <v>36</v>
      </c>
      <c r="G64" s="36">
        <v>1</v>
      </c>
      <c r="H64" s="36">
        <v>1</v>
      </c>
      <c r="I64" s="36">
        <v>1</v>
      </c>
      <c r="J64" s="36">
        <v>1</v>
      </c>
      <c r="K64" s="36">
        <v>1</v>
      </c>
      <c r="L64" s="36">
        <v>1</v>
      </c>
      <c r="M64" s="36">
        <v>1</v>
      </c>
      <c r="N64" s="36">
        <v>1</v>
      </c>
      <c r="O64" s="36">
        <v>1</v>
      </c>
      <c r="P64" s="36">
        <v>1</v>
      </c>
      <c r="Q64" s="18">
        <v>0</v>
      </c>
      <c r="R64" s="38">
        <v>0</v>
      </c>
      <c r="S64" s="38">
        <v>0</v>
      </c>
      <c r="T64" s="38">
        <v>0</v>
      </c>
      <c r="U64" s="38">
        <v>0</v>
      </c>
      <c r="V64" s="38">
        <v>0</v>
      </c>
      <c r="W64" s="38">
        <v>0</v>
      </c>
      <c r="X64" s="38">
        <v>0</v>
      </c>
      <c r="Y64" s="38">
        <v>0</v>
      </c>
      <c r="Z64" s="38">
        <v>0</v>
      </c>
    </row>
    <row r="65" spans="1:26" x14ac:dyDescent="0.3">
      <c r="A65" s="80"/>
      <c r="B65" s="60"/>
      <c r="C65" s="61" t="s">
        <v>105</v>
      </c>
      <c r="D65" s="62" t="s">
        <v>105</v>
      </c>
      <c r="E65" s="63" t="s">
        <v>37</v>
      </c>
      <c r="F65" s="64" t="s">
        <v>37</v>
      </c>
      <c r="G65" s="36">
        <v>1</v>
      </c>
      <c r="H65" s="36">
        <v>1</v>
      </c>
      <c r="I65" s="36">
        <v>1</v>
      </c>
      <c r="J65" s="36">
        <v>1</v>
      </c>
      <c r="K65" s="36">
        <v>1</v>
      </c>
      <c r="L65" s="36">
        <v>1</v>
      </c>
      <c r="M65" s="36">
        <v>1</v>
      </c>
      <c r="N65" s="36">
        <v>1</v>
      </c>
      <c r="O65" s="36">
        <v>1</v>
      </c>
      <c r="P65" s="36">
        <v>1</v>
      </c>
      <c r="Q65" s="1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8">
        <v>0</v>
      </c>
      <c r="X65" s="38">
        <v>0</v>
      </c>
      <c r="Y65" s="38">
        <v>0</v>
      </c>
      <c r="Z65" s="38">
        <v>0</v>
      </c>
    </row>
    <row r="66" spans="1:26" x14ac:dyDescent="0.3">
      <c r="A66" s="80"/>
      <c r="B66" s="60"/>
      <c r="C66" s="61" t="s">
        <v>68</v>
      </c>
      <c r="D66" s="62" t="s">
        <v>68</v>
      </c>
      <c r="E66" s="63" t="s">
        <v>47</v>
      </c>
      <c r="F66" s="64" t="s">
        <v>47</v>
      </c>
      <c r="G66" s="36">
        <v>1.5</v>
      </c>
      <c r="H66" s="36">
        <v>1.5</v>
      </c>
      <c r="I66" s="36">
        <v>1.5</v>
      </c>
      <c r="J66" s="36">
        <v>1.5</v>
      </c>
      <c r="K66" s="36">
        <v>1.5</v>
      </c>
      <c r="L66" s="36">
        <v>1.5</v>
      </c>
      <c r="M66" s="36">
        <v>1.5</v>
      </c>
      <c r="N66" s="36">
        <v>1.5</v>
      </c>
      <c r="O66" s="36">
        <v>1.5</v>
      </c>
      <c r="P66" s="36">
        <v>1.5</v>
      </c>
      <c r="Q66" s="18">
        <v>0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8">
        <v>0</v>
      </c>
      <c r="X66" s="38">
        <v>0</v>
      </c>
      <c r="Y66" s="38">
        <v>0</v>
      </c>
      <c r="Z66" s="38">
        <v>0</v>
      </c>
    </row>
    <row r="67" spans="1:26" x14ac:dyDescent="0.3">
      <c r="A67" s="80"/>
      <c r="B67" s="59"/>
      <c r="C67" s="61" t="s">
        <v>69</v>
      </c>
      <c r="D67" s="62" t="s">
        <v>69</v>
      </c>
      <c r="E67" s="63" t="s">
        <v>38</v>
      </c>
      <c r="F67" s="64" t="s">
        <v>38</v>
      </c>
      <c r="G67" s="36">
        <v>1</v>
      </c>
      <c r="H67" s="36">
        <v>1</v>
      </c>
      <c r="I67" s="36">
        <v>1</v>
      </c>
      <c r="J67" s="36">
        <v>1</v>
      </c>
      <c r="K67" s="36">
        <v>1</v>
      </c>
      <c r="L67" s="36">
        <v>1</v>
      </c>
      <c r="M67" s="36">
        <v>1</v>
      </c>
      <c r="N67" s="36">
        <v>1</v>
      </c>
      <c r="O67" s="36">
        <v>1</v>
      </c>
      <c r="P67" s="36">
        <v>1</v>
      </c>
      <c r="Q67" s="18">
        <v>0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8">
        <v>0</v>
      </c>
      <c r="X67" s="38">
        <v>0</v>
      </c>
      <c r="Y67" s="38">
        <v>0</v>
      </c>
      <c r="Z67" s="38">
        <v>0</v>
      </c>
    </row>
    <row r="68" spans="1:26" ht="16.8" customHeight="1" x14ac:dyDescent="0.3">
      <c r="A68" s="80"/>
      <c r="B68" s="58" t="s">
        <v>96</v>
      </c>
      <c r="C68" s="61" t="s">
        <v>106</v>
      </c>
      <c r="D68" s="62" t="s">
        <v>106</v>
      </c>
      <c r="E68" s="63" t="s">
        <v>45</v>
      </c>
      <c r="F68" s="64" t="s">
        <v>45</v>
      </c>
      <c r="G68" s="36">
        <v>3</v>
      </c>
      <c r="H68" s="36">
        <v>3</v>
      </c>
      <c r="I68" s="36">
        <v>3</v>
      </c>
      <c r="J68" s="36">
        <v>3</v>
      </c>
      <c r="K68" s="36">
        <v>3</v>
      </c>
      <c r="L68" s="36">
        <v>3</v>
      </c>
      <c r="M68" s="36">
        <v>3</v>
      </c>
      <c r="N68" s="36">
        <v>3</v>
      </c>
      <c r="O68" s="36">
        <v>3</v>
      </c>
      <c r="P68" s="36">
        <v>3</v>
      </c>
      <c r="Q68" s="36">
        <v>3</v>
      </c>
      <c r="R68" s="18">
        <v>0</v>
      </c>
      <c r="S68" s="38">
        <v>0</v>
      </c>
      <c r="T68" s="38">
        <v>0</v>
      </c>
      <c r="U68" s="38">
        <v>0</v>
      </c>
      <c r="V68" s="38">
        <v>0</v>
      </c>
      <c r="W68" s="38">
        <v>0</v>
      </c>
      <c r="X68" s="38">
        <v>0</v>
      </c>
      <c r="Y68" s="38">
        <v>0</v>
      </c>
      <c r="Z68" s="38">
        <v>0</v>
      </c>
    </row>
    <row r="69" spans="1:26" x14ac:dyDescent="0.3">
      <c r="A69" s="80"/>
      <c r="B69" s="60"/>
      <c r="C69" s="61" t="s">
        <v>107</v>
      </c>
      <c r="D69" s="62" t="s">
        <v>107</v>
      </c>
      <c r="E69" s="63" t="s">
        <v>43</v>
      </c>
      <c r="F69" s="64" t="s">
        <v>43</v>
      </c>
      <c r="G69" s="36">
        <v>14</v>
      </c>
      <c r="H69" s="36">
        <v>13</v>
      </c>
      <c r="I69" s="36">
        <v>14</v>
      </c>
      <c r="J69" s="36">
        <v>14</v>
      </c>
      <c r="K69" s="36">
        <v>14</v>
      </c>
      <c r="L69" s="36">
        <v>14</v>
      </c>
      <c r="M69" s="36">
        <v>14</v>
      </c>
      <c r="N69" s="36">
        <v>14</v>
      </c>
      <c r="O69" s="36">
        <v>14</v>
      </c>
      <c r="P69" s="36">
        <v>14</v>
      </c>
      <c r="Q69" s="36">
        <v>14</v>
      </c>
      <c r="R69" s="1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0</v>
      </c>
      <c r="Z69" s="38">
        <v>0</v>
      </c>
    </row>
    <row r="70" spans="1:26" x14ac:dyDescent="0.3">
      <c r="A70" s="80"/>
      <c r="B70" s="60"/>
      <c r="C70" s="47"/>
      <c r="D70" s="48"/>
      <c r="E70" s="49"/>
      <c r="F70" s="50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43">
        <v>1</v>
      </c>
      <c r="S70" s="38"/>
      <c r="T70" s="38"/>
      <c r="U70" s="38"/>
      <c r="V70" s="38"/>
      <c r="W70" s="38"/>
      <c r="X70" s="38"/>
      <c r="Y70" s="38"/>
      <c r="Z70" s="38"/>
    </row>
    <row r="71" spans="1:26" x14ac:dyDescent="0.3">
      <c r="A71" s="80"/>
      <c r="B71" s="60"/>
      <c r="C71" s="61" t="s">
        <v>108</v>
      </c>
      <c r="D71" s="62" t="s">
        <v>108</v>
      </c>
      <c r="E71" s="63" t="s">
        <v>38</v>
      </c>
      <c r="F71" s="64" t="s">
        <v>38</v>
      </c>
      <c r="G71" s="36">
        <v>2</v>
      </c>
      <c r="H71" s="36">
        <v>2</v>
      </c>
      <c r="I71" s="36">
        <v>2</v>
      </c>
      <c r="J71" s="36">
        <v>2</v>
      </c>
      <c r="K71" s="36">
        <v>2</v>
      </c>
      <c r="L71" s="36">
        <v>2</v>
      </c>
      <c r="M71" s="36">
        <v>2</v>
      </c>
      <c r="N71" s="36">
        <v>2</v>
      </c>
      <c r="O71" s="36">
        <v>2</v>
      </c>
      <c r="P71" s="36">
        <v>1</v>
      </c>
      <c r="Q71" s="36">
        <v>1</v>
      </c>
      <c r="R71" s="18">
        <v>0</v>
      </c>
      <c r="S71" s="38">
        <v>0</v>
      </c>
      <c r="T71" s="38">
        <v>0</v>
      </c>
      <c r="U71" s="38">
        <v>0</v>
      </c>
      <c r="V71" s="38">
        <v>0</v>
      </c>
      <c r="W71" s="38">
        <v>0</v>
      </c>
      <c r="X71" s="38">
        <v>0</v>
      </c>
      <c r="Y71" s="38">
        <v>0</v>
      </c>
      <c r="Z71" s="38">
        <v>0</v>
      </c>
    </row>
    <row r="72" spans="1:26" x14ac:dyDescent="0.3">
      <c r="A72" s="80"/>
      <c r="B72" s="60"/>
      <c r="C72" s="61" t="s">
        <v>109</v>
      </c>
      <c r="D72" s="62" t="s">
        <v>109</v>
      </c>
      <c r="E72" s="63" t="s">
        <v>39</v>
      </c>
      <c r="F72" s="64" t="s">
        <v>39</v>
      </c>
      <c r="G72" s="36">
        <v>2</v>
      </c>
      <c r="H72" s="36">
        <v>2</v>
      </c>
      <c r="I72" s="36">
        <v>2</v>
      </c>
      <c r="J72" s="36">
        <v>2</v>
      </c>
      <c r="K72" s="36">
        <v>2</v>
      </c>
      <c r="L72" s="36">
        <v>2</v>
      </c>
      <c r="M72" s="36">
        <v>2</v>
      </c>
      <c r="N72" s="36">
        <v>2</v>
      </c>
      <c r="O72" s="36">
        <v>2</v>
      </c>
      <c r="P72" s="36">
        <v>2</v>
      </c>
      <c r="Q72" s="36">
        <v>2</v>
      </c>
      <c r="R72" s="36">
        <v>2</v>
      </c>
      <c r="S72" s="18">
        <v>0</v>
      </c>
      <c r="T72" s="38">
        <v>0</v>
      </c>
      <c r="U72" s="38">
        <v>0</v>
      </c>
      <c r="V72" s="38">
        <v>0</v>
      </c>
      <c r="W72" s="38">
        <v>0</v>
      </c>
      <c r="X72" s="38">
        <v>0</v>
      </c>
      <c r="Y72" s="38">
        <v>0</v>
      </c>
      <c r="Z72" s="38">
        <v>0</v>
      </c>
    </row>
    <row r="73" spans="1:26" x14ac:dyDescent="0.3">
      <c r="A73" s="80"/>
      <c r="B73" s="60"/>
      <c r="C73" s="61" t="s">
        <v>68</v>
      </c>
      <c r="D73" s="62" t="s">
        <v>68</v>
      </c>
      <c r="E73" s="63" t="s">
        <v>43</v>
      </c>
      <c r="F73" s="64" t="s">
        <v>43</v>
      </c>
      <c r="G73" s="36">
        <v>2</v>
      </c>
      <c r="H73" s="36">
        <v>2</v>
      </c>
      <c r="I73" s="36">
        <v>2</v>
      </c>
      <c r="J73" s="36">
        <v>2</v>
      </c>
      <c r="K73" s="36">
        <v>2</v>
      </c>
      <c r="L73" s="36">
        <v>2</v>
      </c>
      <c r="M73" s="36">
        <v>2</v>
      </c>
      <c r="N73" s="36">
        <v>2</v>
      </c>
      <c r="O73" s="36">
        <v>2</v>
      </c>
      <c r="P73" s="36">
        <v>2</v>
      </c>
      <c r="Q73" s="36">
        <v>2</v>
      </c>
      <c r="R73" s="36">
        <v>2</v>
      </c>
      <c r="S73" s="18">
        <v>0</v>
      </c>
      <c r="T73" s="38">
        <v>0</v>
      </c>
      <c r="U73" s="38">
        <v>0</v>
      </c>
      <c r="V73" s="38">
        <v>0</v>
      </c>
      <c r="W73" s="38">
        <v>0</v>
      </c>
      <c r="X73" s="38">
        <v>0</v>
      </c>
      <c r="Y73" s="38">
        <v>0</v>
      </c>
      <c r="Z73" s="38">
        <v>0</v>
      </c>
    </row>
    <row r="74" spans="1:26" x14ac:dyDescent="0.3">
      <c r="A74" s="80"/>
      <c r="B74" s="59"/>
      <c r="C74" s="61" t="s">
        <v>69</v>
      </c>
      <c r="D74" s="62" t="s">
        <v>69</v>
      </c>
      <c r="E74" s="63" t="s">
        <v>37</v>
      </c>
      <c r="F74" s="64" t="s">
        <v>37</v>
      </c>
      <c r="G74" s="36">
        <v>1</v>
      </c>
      <c r="H74" s="36">
        <v>1</v>
      </c>
      <c r="I74" s="36">
        <v>1</v>
      </c>
      <c r="J74" s="36">
        <v>1</v>
      </c>
      <c r="K74" s="36">
        <v>1</v>
      </c>
      <c r="L74" s="36">
        <v>1</v>
      </c>
      <c r="M74" s="36">
        <v>1</v>
      </c>
      <c r="N74" s="36">
        <v>1</v>
      </c>
      <c r="O74" s="36">
        <v>1</v>
      </c>
      <c r="P74" s="36">
        <v>1</v>
      </c>
      <c r="Q74" s="36">
        <v>1</v>
      </c>
      <c r="R74" s="36">
        <v>1</v>
      </c>
      <c r="S74" s="18">
        <v>0</v>
      </c>
      <c r="T74" s="38">
        <v>0</v>
      </c>
      <c r="U74" s="38">
        <v>0</v>
      </c>
      <c r="V74" s="38">
        <v>0</v>
      </c>
      <c r="W74" s="38">
        <v>0</v>
      </c>
      <c r="X74" s="38">
        <v>0</v>
      </c>
      <c r="Y74" s="38">
        <v>0</v>
      </c>
      <c r="Z74" s="38">
        <v>0</v>
      </c>
    </row>
    <row r="75" spans="1:26" ht="16.8" customHeight="1" x14ac:dyDescent="0.3">
      <c r="A75" s="80"/>
      <c r="B75" s="58" t="s">
        <v>97</v>
      </c>
      <c r="C75" s="61" t="s">
        <v>110</v>
      </c>
      <c r="D75" s="62" t="s">
        <v>110</v>
      </c>
      <c r="E75" s="63" t="s">
        <v>44</v>
      </c>
      <c r="F75" s="64" t="s">
        <v>44</v>
      </c>
      <c r="G75" s="36">
        <v>2.5</v>
      </c>
      <c r="H75" s="36">
        <v>2.5</v>
      </c>
      <c r="I75" s="36">
        <v>2.5</v>
      </c>
      <c r="J75" s="36">
        <v>2.5</v>
      </c>
      <c r="K75" s="36">
        <v>2.5</v>
      </c>
      <c r="L75" s="36">
        <v>2.5</v>
      </c>
      <c r="M75" s="36">
        <v>2.5</v>
      </c>
      <c r="N75" s="36">
        <v>2.5</v>
      </c>
      <c r="O75" s="36">
        <v>2.5</v>
      </c>
      <c r="P75" s="36">
        <v>2.5</v>
      </c>
      <c r="Q75" s="36">
        <v>2.5</v>
      </c>
      <c r="R75" s="36">
        <v>2.5</v>
      </c>
      <c r="S75" s="36">
        <v>2.5</v>
      </c>
      <c r="T75" s="18">
        <v>0</v>
      </c>
      <c r="U75" s="38">
        <v>0</v>
      </c>
      <c r="V75" s="38">
        <v>0</v>
      </c>
      <c r="W75" s="38">
        <v>0</v>
      </c>
      <c r="X75" s="38">
        <v>0</v>
      </c>
      <c r="Y75" s="38">
        <v>0</v>
      </c>
      <c r="Z75" s="38">
        <v>0</v>
      </c>
    </row>
    <row r="76" spans="1:26" x14ac:dyDescent="0.3">
      <c r="A76" s="80"/>
      <c r="B76" s="60"/>
      <c r="C76" s="61" t="s">
        <v>111</v>
      </c>
      <c r="D76" s="62" t="s">
        <v>111</v>
      </c>
      <c r="E76" s="63" t="s">
        <v>61</v>
      </c>
      <c r="F76" s="64" t="s">
        <v>61</v>
      </c>
      <c r="G76" s="36">
        <v>9</v>
      </c>
      <c r="H76" s="36">
        <v>11</v>
      </c>
      <c r="I76" s="36">
        <v>9</v>
      </c>
      <c r="J76" s="36">
        <v>9</v>
      </c>
      <c r="K76" s="36">
        <v>9</v>
      </c>
      <c r="L76" s="36">
        <v>9</v>
      </c>
      <c r="M76" s="36">
        <v>9</v>
      </c>
      <c r="N76" s="36">
        <v>9</v>
      </c>
      <c r="O76" s="36">
        <v>9</v>
      </c>
      <c r="P76" s="36">
        <v>9</v>
      </c>
      <c r="Q76" s="36">
        <v>9</v>
      </c>
      <c r="R76" s="36">
        <v>9</v>
      </c>
      <c r="S76" s="36">
        <v>9</v>
      </c>
      <c r="T76" s="18">
        <v>0</v>
      </c>
      <c r="U76" s="38">
        <v>0</v>
      </c>
      <c r="V76" s="38">
        <v>0</v>
      </c>
      <c r="W76" s="38">
        <v>0</v>
      </c>
      <c r="X76" s="38">
        <v>0</v>
      </c>
      <c r="Y76" s="38">
        <v>0</v>
      </c>
      <c r="Z76" s="38">
        <v>0</v>
      </c>
    </row>
    <row r="77" spans="1:26" x14ac:dyDescent="0.3">
      <c r="A77" s="80"/>
      <c r="B77" s="60"/>
      <c r="C77" s="47"/>
      <c r="D77" s="48"/>
      <c r="E77" s="49"/>
      <c r="F77" s="50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42">
        <v>2</v>
      </c>
      <c r="U77" s="38"/>
      <c r="V77" s="38"/>
      <c r="W77" s="38"/>
      <c r="X77" s="38"/>
      <c r="Y77" s="38"/>
      <c r="Z77" s="38"/>
    </row>
    <row r="78" spans="1:26" x14ac:dyDescent="0.3">
      <c r="A78" s="80"/>
      <c r="B78" s="60"/>
      <c r="C78" s="61" t="s">
        <v>112</v>
      </c>
      <c r="D78" s="62" t="s">
        <v>112</v>
      </c>
      <c r="E78" s="63" t="s">
        <v>35</v>
      </c>
      <c r="F78" s="64" t="s">
        <v>35</v>
      </c>
      <c r="G78" s="36">
        <v>1</v>
      </c>
      <c r="H78" s="36">
        <v>1</v>
      </c>
      <c r="I78" s="36">
        <v>1</v>
      </c>
      <c r="J78" s="36">
        <v>1</v>
      </c>
      <c r="K78" s="36">
        <v>1</v>
      </c>
      <c r="L78" s="36">
        <v>1</v>
      </c>
      <c r="M78" s="36">
        <v>1</v>
      </c>
      <c r="N78" s="36">
        <v>1</v>
      </c>
      <c r="O78" s="36">
        <v>1</v>
      </c>
      <c r="P78" s="36">
        <v>1</v>
      </c>
      <c r="Q78" s="36">
        <v>1</v>
      </c>
      <c r="R78" s="36">
        <v>1</v>
      </c>
      <c r="S78" s="36">
        <v>1</v>
      </c>
      <c r="T78" s="18">
        <v>0</v>
      </c>
      <c r="U78" s="38">
        <v>0</v>
      </c>
      <c r="V78" s="38">
        <v>0</v>
      </c>
      <c r="W78" s="38">
        <v>0</v>
      </c>
      <c r="X78" s="38">
        <v>0</v>
      </c>
      <c r="Y78" s="38">
        <v>0</v>
      </c>
      <c r="Z78" s="38">
        <v>0</v>
      </c>
    </row>
    <row r="79" spans="1:26" x14ac:dyDescent="0.3">
      <c r="A79" s="80"/>
      <c r="B79" s="60"/>
      <c r="C79" s="61" t="s">
        <v>113</v>
      </c>
      <c r="D79" s="62" t="s">
        <v>113</v>
      </c>
      <c r="E79" s="63" t="s">
        <v>39</v>
      </c>
      <c r="F79" s="64" t="s">
        <v>39</v>
      </c>
      <c r="G79" s="36">
        <v>1</v>
      </c>
      <c r="H79" s="36">
        <v>1</v>
      </c>
      <c r="I79" s="36">
        <v>1</v>
      </c>
      <c r="J79" s="36">
        <v>1</v>
      </c>
      <c r="K79" s="36">
        <v>1</v>
      </c>
      <c r="L79" s="36">
        <v>1</v>
      </c>
      <c r="M79" s="36">
        <v>1</v>
      </c>
      <c r="N79" s="36">
        <v>1</v>
      </c>
      <c r="O79" s="36">
        <v>1</v>
      </c>
      <c r="P79" s="36">
        <v>1</v>
      </c>
      <c r="Q79" s="36">
        <v>1</v>
      </c>
      <c r="R79" s="36">
        <v>1</v>
      </c>
      <c r="S79" s="36">
        <v>1</v>
      </c>
      <c r="T79" s="18">
        <v>0</v>
      </c>
      <c r="U79" s="38">
        <v>0</v>
      </c>
      <c r="V79" s="38">
        <v>0</v>
      </c>
      <c r="W79" s="38">
        <v>0</v>
      </c>
      <c r="X79" s="38">
        <v>0</v>
      </c>
      <c r="Y79" s="38">
        <v>0</v>
      </c>
      <c r="Z79" s="38">
        <v>0</v>
      </c>
    </row>
    <row r="80" spans="1:26" x14ac:dyDescent="0.3">
      <c r="A80" s="80"/>
      <c r="B80" s="60"/>
      <c r="C80" s="61" t="s">
        <v>68</v>
      </c>
      <c r="D80" s="62" t="s">
        <v>68</v>
      </c>
      <c r="E80" s="63" t="s">
        <v>61</v>
      </c>
      <c r="F80" s="64" t="s">
        <v>61</v>
      </c>
      <c r="G80" s="36">
        <v>1.5</v>
      </c>
      <c r="H80" s="36">
        <v>1.5</v>
      </c>
      <c r="I80" s="36">
        <v>1.5</v>
      </c>
      <c r="J80" s="36">
        <v>1.5</v>
      </c>
      <c r="K80" s="36">
        <v>1.5</v>
      </c>
      <c r="L80" s="36">
        <v>1.5</v>
      </c>
      <c r="M80" s="36">
        <v>1.5</v>
      </c>
      <c r="N80" s="36">
        <v>1.5</v>
      </c>
      <c r="O80" s="36">
        <v>1.5</v>
      </c>
      <c r="P80" s="36">
        <v>1.5</v>
      </c>
      <c r="Q80" s="36">
        <v>1.5</v>
      </c>
      <c r="R80" s="36">
        <v>1.5</v>
      </c>
      <c r="S80" s="36">
        <v>1.5</v>
      </c>
      <c r="T80" s="18">
        <v>0</v>
      </c>
      <c r="U80" s="38">
        <v>0</v>
      </c>
      <c r="V80" s="38">
        <v>0</v>
      </c>
      <c r="W80" s="38">
        <v>0</v>
      </c>
      <c r="X80" s="38">
        <v>0</v>
      </c>
      <c r="Y80" s="38">
        <v>0</v>
      </c>
      <c r="Z80" s="38">
        <v>0</v>
      </c>
    </row>
    <row r="81" spans="1:26" x14ac:dyDescent="0.3">
      <c r="A81" s="80"/>
      <c r="B81" s="59"/>
      <c r="C81" s="61" t="s">
        <v>69</v>
      </c>
      <c r="D81" s="62" t="s">
        <v>69</v>
      </c>
      <c r="E81" s="63" t="s">
        <v>38</v>
      </c>
      <c r="F81" s="64" t="s">
        <v>38</v>
      </c>
      <c r="G81" s="36">
        <v>1</v>
      </c>
      <c r="H81" s="36">
        <v>1</v>
      </c>
      <c r="I81" s="36">
        <v>1</v>
      </c>
      <c r="J81" s="36">
        <v>1</v>
      </c>
      <c r="K81" s="36">
        <v>1</v>
      </c>
      <c r="L81" s="36">
        <v>1</v>
      </c>
      <c r="M81" s="36">
        <v>1</v>
      </c>
      <c r="N81" s="36">
        <v>1</v>
      </c>
      <c r="O81" s="36">
        <v>1</v>
      </c>
      <c r="P81" s="36">
        <v>1</v>
      </c>
      <c r="Q81" s="36">
        <v>1</v>
      </c>
      <c r="R81" s="36">
        <v>1</v>
      </c>
      <c r="S81" s="36">
        <v>1</v>
      </c>
      <c r="T81" s="18">
        <v>0</v>
      </c>
      <c r="U81" s="38">
        <v>0</v>
      </c>
      <c r="V81" s="38">
        <v>0</v>
      </c>
      <c r="W81" s="38">
        <v>0</v>
      </c>
      <c r="X81" s="38">
        <v>0</v>
      </c>
      <c r="Y81" s="38">
        <v>0</v>
      </c>
      <c r="Z81" s="38">
        <v>0</v>
      </c>
    </row>
    <row r="82" spans="1:26" ht="16.8" customHeight="1" x14ac:dyDescent="0.3">
      <c r="A82" s="80"/>
      <c r="B82" s="58" t="s">
        <v>98</v>
      </c>
      <c r="C82" s="61" t="s">
        <v>114</v>
      </c>
      <c r="D82" s="62" t="s">
        <v>114</v>
      </c>
      <c r="E82" s="63" t="s">
        <v>45</v>
      </c>
      <c r="F82" s="64" t="s">
        <v>45</v>
      </c>
      <c r="G82" s="36">
        <v>3</v>
      </c>
      <c r="H82" s="36">
        <v>3</v>
      </c>
      <c r="I82" s="36">
        <v>3</v>
      </c>
      <c r="J82" s="36">
        <v>3</v>
      </c>
      <c r="K82" s="36">
        <v>3</v>
      </c>
      <c r="L82" s="36">
        <v>3</v>
      </c>
      <c r="M82" s="36">
        <v>3</v>
      </c>
      <c r="N82" s="36">
        <v>3</v>
      </c>
      <c r="O82" s="36">
        <v>3</v>
      </c>
      <c r="P82" s="36">
        <v>3</v>
      </c>
      <c r="Q82" s="36">
        <v>3</v>
      </c>
      <c r="R82" s="36">
        <v>3</v>
      </c>
      <c r="S82" s="36">
        <v>3</v>
      </c>
      <c r="T82" s="36">
        <v>3</v>
      </c>
      <c r="U82" s="18">
        <v>0</v>
      </c>
      <c r="V82" s="38">
        <v>0</v>
      </c>
      <c r="W82" s="38">
        <v>0</v>
      </c>
      <c r="X82" s="38">
        <v>0</v>
      </c>
      <c r="Y82" s="38">
        <v>0</v>
      </c>
      <c r="Z82" s="38">
        <v>0</v>
      </c>
    </row>
    <row r="83" spans="1:26" x14ac:dyDescent="0.3">
      <c r="A83" s="80"/>
      <c r="B83" s="60"/>
      <c r="C83" s="61" t="s">
        <v>115</v>
      </c>
      <c r="D83" s="62" t="s">
        <v>115</v>
      </c>
      <c r="E83" s="63" t="s">
        <v>43</v>
      </c>
      <c r="F83" s="64" t="s">
        <v>43</v>
      </c>
      <c r="G83" s="36">
        <v>14</v>
      </c>
      <c r="H83" s="36">
        <v>14</v>
      </c>
      <c r="I83" s="36">
        <v>14</v>
      </c>
      <c r="J83" s="36">
        <v>14</v>
      </c>
      <c r="K83" s="36">
        <v>14</v>
      </c>
      <c r="L83" s="36">
        <v>14</v>
      </c>
      <c r="M83" s="36">
        <v>14</v>
      </c>
      <c r="N83" s="36">
        <v>14</v>
      </c>
      <c r="O83" s="36">
        <v>14</v>
      </c>
      <c r="P83" s="36">
        <v>14</v>
      </c>
      <c r="Q83" s="36">
        <v>14</v>
      </c>
      <c r="R83" s="36">
        <v>14</v>
      </c>
      <c r="S83" s="36">
        <v>14</v>
      </c>
      <c r="T83" s="36">
        <v>14</v>
      </c>
      <c r="U83" s="1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</row>
    <row r="84" spans="1:26" x14ac:dyDescent="0.3">
      <c r="A84" s="80"/>
      <c r="B84" s="60"/>
      <c r="C84" s="61" t="s">
        <v>116</v>
      </c>
      <c r="D84" s="62" t="s">
        <v>116</v>
      </c>
      <c r="E84" s="63" t="s">
        <v>38</v>
      </c>
      <c r="F84" s="64" t="s">
        <v>38</v>
      </c>
      <c r="G84" s="36">
        <v>2</v>
      </c>
      <c r="H84" s="36">
        <v>2</v>
      </c>
      <c r="I84" s="36">
        <v>2</v>
      </c>
      <c r="J84" s="36">
        <v>2</v>
      </c>
      <c r="K84" s="36">
        <v>2</v>
      </c>
      <c r="L84" s="36">
        <v>2</v>
      </c>
      <c r="M84" s="36">
        <v>2</v>
      </c>
      <c r="N84" s="36">
        <v>2</v>
      </c>
      <c r="O84" s="36">
        <v>2</v>
      </c>
      <c r="P84" s="36">
        <v>2</v>
      </c>
      <c r="Q84" s="36">
        <v>2</v>
      </c>
      <c r="R84" s="36">
        <v>2</v>
      </c>
      <c r="S84" s="36">
        <v>2</v>
      </c>
      <c r="T84" s="36">
        <v>2</v>
      </c>
      <c r="U84" s="18">
        <v>0</v>
      </c>
      <c r="V84" s="38">
        <v>0</v>
      </c>
      <c r="W84" s="38">
        <v>0</v>
      </c>
      <c r="X84" s="38">
        <v>0</v>
      </c>
      <c r="Y84" s="38">
        <v>0</v>
      </c>
      <c r="Z84" s="38">
        <v>0</v>
      </c>
    </row>
    <row r="85" spans="1:26" x14ac:dyDescent="0.3">
      <c r="A85" s="80"/>
      <c r="B85" s="60"/>
      <c r="C85" s="61" t="s">
        <v>117</v>
      </c>
      <c r="D85" s="62" t="s">
        <v>117</v>
      </c>
      <c r="E85" s="63" t="s">
        <v>37</v>
      </c>
      <c r="F85" s="64" t="s">
        <v>37</v>
      </c>
      <c r="G85" s="36">
        <v>2</v>
      </c>
      <c r="H85" s="36">
        <v>2</v>
      </c>
      <c r="I85" s="36">
        <v>2</v>
      </c>
      <c r="J85" s="36">
        <v>2</v>
      </c>
      <c r="K85" s="36">
        <v>2</v>
      </c>
      <c r="L85" s="36">
        <v>2</v>
      </c>
      <c r="M85" s="36">
        <v>2</v>
      </c>
      <c r="N85" s="36">
        <v>2</v>
      </c>
      <c r="O85" s="36">
        <v>2</v>
      </c>
      <c r="P85" s="36">
        <v>2</v>
      </c>
      <c r="Q85" s="36">
        <v>2</v>
      </c>
      <c r="R85" s="36">
        <v>2</v>
      </c>
      <c r="S85" s="36">
        <v>2</v>
      </c>
      <c r="T85" s="36">
        <v>2</v>
      </c>
      <c r="U85" s="36">
        <v>2</v>
      </c>
      <c r="V85" s="18">
        <v>0</v>
      </c>
      <c r="W85" s="38">
        <v>0</v>
      </c>
      <c r="X85" s="38">
        <v>0</v>
      </c>
      <c r="Y85" s="38">
        <v>0</v>
      </c>
      <c r="Z85" s="38">
        <v>0</v>
      </c>
    </row>
    <row r="86" spans="1:26" x14ac:dyDescent="0.3">
      <c r="A86" s="80"/>
      <c r="B86" s="60"/>
      <c r="C86" s="61" t="s">
        <v>68</v>
      </c>
      <c r="D86" s="62" t="s">
        <v>68</v>
      </c>
      <c r="E86" s="63" t="s">
        <v>43</v>
      </c>
      <c r="F86" s="64" t="s">
        <v>43</v>
      </c>
      <c r="G86" s="36">
        <v>2</v>
      </c>
      <c r="H86" s="36">
        <v>2</v>
      </c>
      <c r="I86" s="36">
        <v>2</v>
      </c>
      <c r="J86" s="36">
        <v>2</v>
      </c>
      <c r="K86" s="36">
        <v>2</v>
      </c>
      <c r="L86" s="36">
        <v>2</v>
      </c>
      <c r="M86" s="36">
        <v>2</v>
      </c>
      <c r="N86" s="36">
        <v>2</v>
      </c>
      <c r="O86" s="36">
        <v>2</v>
      </c>
      <c r="P86" s="36">
        <v>2</v>
      </c>
      <c r="Q86" s="36">
        <v>2</v>
      </c>
      <c r="R86" s="36">
        <v>2</v>
      </c>
      <c r="S86" s="36">
        <v>2</v>
      </c>
      <c r="T86" s="36">
        <v>2</v>
      </c>
      <c r="U86" s="36">
        <v>2</v>
      </c>
      <c r="V86" s="18">
        <v>0</v>
      </c>
      <c r="W86" s="38">
        <v>0</v>
      </c>
      <c r="X86" s="38">
        <v>0</v>
      </c>
      <c r="Y86" s="38">
        <v>0</v>
      </c>
      <c r="Z86" s="38">
        <v>0</v>
      </c>
    </row>
    <row r="87" spans="1:26" x14ac:dyDescent="0.3">
      <c r="A87" s="80"/>
      <c r="B87" s="59"/>
      <c r="C87" s="61" t="s">
        <v>69</v>
      </c>
      <c r="D87" s="62" t="s">
        <v>69</v>
      </c>
      <c r="E87" s="63" t="s">
        <v>39</v>
      </c>
      <c r="F87" s="64" t="s">
        <v>39</v>
      </c>
      <c r="G87" s="36">
        <v>1</v>
      </c>
      <c r="H87" s="36">
        <v>1</v>
      </c>
      <c r="I87" s="36">
        <v>1</v>
      </c>
      <c r="J87" s="36">
        <v>1</v>
      </c>
      <c r="K87" s="36">
        <v>1</v>
      </c>
      <c r="L87" s="36">
        <v>1</v>
      </c>
      <c r="M87" s="36">
        <v>1</v>
      </c>
      <c r="N87" s="36">
        <v>1</v>
      </c>
      <c r="O87" s="36">
        <v>1</v>
      </c>
      <c r="P87" s="36">
        <v>1</v>
      </c>
      <c r="Q87" s="36">
        <v>1</v>
      </c>
      <c r="R87" s="36">
        <v>1</v>
      </c>
      <c r="S87" s="36">
        <v>1</v>
      </c>
      <c r="T87" s="36">
        <v>1</v>
      </c>
      <c r="U87" s="36">
        <v>1</v>
      </c>
      <c r="V87" s="18">
        <v>0</v>
      </c>
      <c r="W87" s="38">
        <v>0</v>
      </c>
      <c r="X87" s="38">
        <v>0</v>
      </c>
      <c r="Y87" s="38">
        <v>0</v>
      </c>
      <c r="Z87" s="38">
        <v>0</v>
      </c>
    </row>
    <row r="88" spans="1:26" ht="16.8" customHeight="1" x14ac:dyDescent="0.3">
      <c r="A88" s="80"/>
      <c r="B88" s="58" t="s">
        <v>99</v>
      </c>
      <c r="C88" s="61" t="s">
        <v>118</v>
      </c>
      <c r="D88" s="62" t="s">
        <v>118</v>
      </c>
      <c r="E88" s="63" t="s">
        <v>44</v>
      </c>
      <c r="F88" s="64" t="s">
        <v>44</v>
      </c>
      <c r="G88" s="36">
        <v>2.5</v>
      </c>
      <c r="H88" s="36">
        <v>2.5</v>
      </c>
      <c r="I88" s="36">
        <v>2.5</v>
      </c>
      <c r="J88" s="36">
        <v>2.5</v>
      </c>
      <c r="K88" s="36">
        <v>2.5</v>
      </c>
      <c r="L88" s="36">
        <v>2.5</v>
      </c>
      <c r="M88" s="36">
        <v>2.5</v>
      </c>
      <c r="N88" s="36">
        <v>2.5</v>
      </c>
      <c r="O88" s="36">
        <v>2.5</v>
      </c>
      <c r="P88" s="36">
        <v>2.5</v>
      </c>
      <c r="Q88" s="36">
        <v>2.5</v>
      </c>
      <c r="R88" s="36">
        <v>2.5</v>
      </c>
      <c r="S88" s="36">
        <v>2.5</v>
      </c>
      <c r="T88" s="36">
        <v>2.5</v>
      </c>
      <c r="U88" s="36">
        <v>2.5</v>
      </c>
      <c r="V88" s="36">
        <v>2.5</v>
      </c>
      <c r="W88" s="18">
        <v>0</v>
      </c>
      <c r="X88" s="38">
        <v>0</v>
      </c>
      <c r="Y88" s="38">
        <v>0</v>
      </c>
      <c r="Z88" s="38">
        <v>0</v>
      </c>
    </row>
    <row r="89" spans="1:26" x14ac:dyDescent="0.3">
      <c r="A89" s="80"/>
      <c r="B89" s="60"/>
      <c r="C89" s="61" t="s">
        <v>119</v>
      </c>
      <c r="D89" s="62" t="s">
        <v>119</v>
      </c>
      <c r="E89" s="63" t="s">
        <v>47</v>
      </c>
      <c r="F89" s="64" t="s">
        <v>47</v>
      </c>
      <c r="G89" s="36">
        <v>9</v>
      </c>
      <c r="H89" s="36">
        <v>9</v>
      </c>
      <c r="I89" s="36">
        <v>9</v>
      </c>
      <c r="J89" s="36">
        <v>9</v>
      </c>
      <c r="K89" s="36">
        <v>9</v>
      </c>
      <c r="L89" s="36">
        <v>9</v>
      </c>
      <c r="M89" s="36">
        <v>9</v>
      </c>
      <c r="N89" s="36">
        <v>9</v>
      </c>
      <c r="O89" s="36">
        <v>9</v>
      </c>
      <c r="P89" s="36">
        <v>9</v>
      </c>
      <c r="Q89" s="36">
        <v>9</v>
      </c>
      <c r="R89" s="36">
        <v>9</v>
      </c>
      <c r="S89" s="36">
        <v>9</v>
      </c>
      <c r="T89" s="36">
        <v>9</v>
      </c>
      <c r="U89" s="36">
        <v>9</v>
      </c>
      <c r="V89" s="36">
        <v>9</v>
      </c>
      <c r="W89" s="18">
        <v>0</v>
      </c>
      <c r="X89" s="38">
        <v>0</v>
      </c>
      <c r="Y89" s="38">
        <v>0</v>
      </c>
      <c r="Z89" s="38">
        <v>0</v>
      </c>
    </row>
    <row r="90" spans="1:26" x14ac:dyDescent="0.3">
      <c r="A90" s="80"/>
      <c r="B90" s="60"/>
      <c r="C90" s="61" t="s">
        <v>120</v>
      </c>
      <c r="D90" s="62" t="s">
        <v>120</v>
      </c>
      <c r="E90" s="63" t="s">
        <v>36</v>
      </c>
      <c r="F90" s="64" t="s">
        <v>36</v>
      </c>
      <c r="G90" s="36">
        <v>1</v>
      </c>
      <c r="H90" s="36">
        <v>2</v>
      </c>
      <c r="I90" s="36">
        <v>1</v>
      </c>
      <c r="J90" s="36">
        <v>1</v>
      </c>
      <c r="K90" s="36">
        <v>1</v>
      </c>
      <c r="L90" s="36">
        <v>1</v>
      </c>
      <c r="M90" s="36">
        <v>1</v>
      </c>
      <c r="N90" s="36">
        <v>1</v>
      </c>
      <c r="O90" s="36">
        <v>1</v>
      </c>
      <c r="P90" s="36">
        <v>1</v>
      </c>
      <c r="Q90" s="36">
        <v>1</v>
      </c>
      <c r="R90" s="36">
        <v>1</v>
      </c>
      <c r="S90" s="36">
        <v>1</v>
      </c>
      <c r="T90" s="36">
        <v>1</v>
      </c>
      <c r="U90" s="36">
        <v>1</v>
      </c>
      <c r="V90" s="36">
        <v>1</v>
      </c>
      <c r="W90" s="18">
        <v>0</v>
      </c>
      <c r="X90" s="38">
        <v>0</v>
      </c>
      <c r="Y90" s="38">
        <v>0</v>
      </c>
      <c r="Z90" s="38">
        <v>0</v>
      </c>
    </row>
    <row r="91" spans="1:26" x14ac:dyDescent="0.3">
      <c r="A91" s="80"/>
      <c r="B91" s="60"/>
      <c r="C91" s="47"/>
      <c r="D91" s="48"/>
      <c r="E91" s="49"/>
      <c r="F91" s="50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42">
        <v>1</v>
      </c>
      <c r="X91" s="38"/>
      <c r="Y91" s="38"/>
      <c r="Z91" s="38"/>
    </row>
    <row r="92" spans="1:26" x14ac:dyDescent="0.3">
      <c r="A92" s="80"/>
      <c r="B92" s="60"/>
      <c r="C92" s="61" t="s">
        <v>121</v>
      </c>
      <c r="D92" s="62" t="s">
        <v>121</v>
      </c>
      <c r="E92" s="63" t="s">
        <v>37</v>
      </c>
      <c r="F92" s="64" t="s">
        <v>37</v>
      </c>
      <c r="G92" s="36">
        <v>1</v>
      </c>
      <c r="H92" s="36">
        <v>1</v>
      </c>
      <c r="I92" s="36">
        <v>1</v>
      </c>
      <c r="J92" s="36">
        <v>1</v>
      </c>
      <c r="K92" s="36">
        <v>1</v>
      </c>
      <c r="L92" s="36">
        <v>1</v>
      </c>
      <c r="M92" s="36">
        <v>1</v>
      </c>
      <c r="N92" s="36">
        <v>1</v>
      </c>
      <c r="O92" s="36">
        <v>1</v>
      </c>
      <c r="P92" s="36">
        <v>1</v>
      </c>
      <c r="Q92" s="36">
        <v>1</v>
      </c>
      <c r="R92" s="36">
        <v>1</v>
      </c>
      <c r="S92" s="36">
        <v>1</v>
      </c>
      <c r="T92" s="36">
        <v>1</v>
      </c>
      <c r="U92" s="36">
        <v>1</v>
      </c>
      <c r="V92" s="36">
        <v>1</v>
      </c>
      <c r="W92" s="18">
        <v>0</v>
      </c>
      <c r="X92" s="38">
        <v>0</v>
      </c>
      <c r="Y92" s="38">
        <v>0</v>
      </c>
      <c r="Z92" s="38">
        <v>0</v>
      </c>
    </row>
    <row r="93" spans="1:26" x14ac:dyDescent="0.3">
      <c r="A93" s="80"/>
      <c r="B93" s="60"/>
      <c r="C93" s="61" t="s">
        <v>68</v>
      </c>
      <c r="D93" s="62" t="s">
        <v>68</v>
      </c>
      <c r="E93" s="63" t="s">
        <v>47</v>
      </c>
      <c r="F93" s="64" t="s">
        <v>47</v>
      </c>
      <c r="G93" s="36">
        <v>1.5</v>
      </c>
      <c r="H93" s="36">
        <v>1.5</v>
      </c>
      <c r="I93" s="36">
        <v>1.5</v>
      </c>
      <c r="J93" s="36">
        <v>1.5</v>
      </c>
      <c r="K93" s="36">
        <v>1.5</v>
      </c>
      <c r="L93" s="36">
        <v>1.5</v>
      </c>
      <c r="M93" s="36">
        <v>1.5</v>
      </c>
      <c r="N93" s="36">
        <v>1.5</v>
      </c>
      <c r="O93" s="36">
        <v>1.5</v>
      </c>
      <c r="P93" s="36">
        <v>1.5</v>
      </c>
      <c r="Q93" s="36">
        <v>1.5</v>
      </c>
      <c r="R93" s="36">
        <v>1.5</v>
      </c>
      <c r="S93" s="36">
        <v>1.5</v>
      </c>
      <c r="T93" s="36">
        <v>1.5</v>
      </c>
      <c r="U93" s="36">
        <v>1.5</v>
      </c>
      <c r="V93" s="36">
        <v>1.5</v>
      </c>
      <c r="W93" s="18">
        <v>0</v>
      </c>
      <c r="X93" s="38">
        <v>0</v>
      </c>
      <c r="Y93" s="38">
        <v>0</v>
      </c>
      <c r="Z93" s="38">
        <v>0</v>
      </c>
    </row>
    <row r="94" spans="1:26" x14ac:dyDescent="0.3">
      <c r="A94" s="80"/>
      <c r="B94" s="59"/>
      <c r="C94" s="61" t="s">
        <v>69</v>
      </c>
      <c r="D94" s="62" t="s">
        <v>69</v>
      </c>
      <c r="E94" s="63" t="s">
        <v>38</v>
      </c>
      <c r="F94" s="64" t="s">
        <v>38</v>
      </c>
      <c r="G94" s="36">
        <v>1</v>
      </c>
      <c r="H94" s="36">
        <v>1</v>
      </c>
      <c r="I94" s="36">
        <v>1</v>
      </c>
      <c r="J94" s="36">
        <v>1</v>
      </c>
      <c r="K94" s="36">
        <v>1</v>
      </c>
      <c r="L94" s="36">
        <v>1</v>
      </c>
      <c r="M94" s="36">
        <v>1</v>
      </c>
      <c r="N94" s="36">
        <v>1</v>
      </c>
      <c r="O94" s="36">
        <v>1</v>
      </c>
      <c r="P94" s="36">
        <v>1</v>
      </c>
      <c r="Q94" s="36">
        <v>1</v>
      </c>
      <c r="R94" s="36">
        <v>1</v>
      </c>
      <c r="S94" s="36">
        <v>1</v>
      </c>
      <c r="T94" s="36">
        <v>1</v>
      </c>
      <c r="U94" s="36">
        <v>1</v>
      </c>
      <c r="V94" s="36">
        <v>1</v>
      </c>
      <c r="W94" s="18">
        <v>0</v>
      </c>
      <c r="X94" s="38">
        <v>0</v>
      </c>
      <c r="Y94" s="38">
        <v>0</v>
      </c>
      <c r="Z94" s="38">
        <v>0</v>
      </c>
    </row>
    <row r="95" spans="1:26" ht="16.8" customHeight="1" x14ac:dyDescent="0.3">
      <c r="A95" s="80"/>
      <c r="B95" s="58" t="s">
        <v>100</v>
      </c>
      <c r="C95" s="61" t="s">
        <v>122</v>
      </c>
      <c r="D95" s="62" t="s">
        <v>122</v>
      </c>
      <c r="E95" s="63" t="s">
        <v>45</v>
      </c>
      <c r="F95" s="64" t="s">
        <v>45</v>
      </c>
      <c r="G95" s="36">
        <v>2.5</v>
      </c>
      <c r="H95" s="36">
        <v>2.5</v>
      </c>
      <c r="I95" s="36">
        <v>2.5</v>
      </c>
      <c r="J95" s="36">
        <v>2.5</v>
      </c>
      <c r="K95" s="36">
        <v>2.5</v>
      </c>
      <c r="L95" s="36">
        <v>2.5</v>
      </c>
      <c r="M95" s="36">
        <v>2.5</v>
      </c>
      <c r="N95" s="36">
        <v>2.5</v>
      </c>
      <c r="O95" s="36">
        <v>2.5</v>
      </c>
      <c r="P95" s="36">
        <v>2.5</v>
      </c>
      <c r="Q95" s="36">
        <v>2.5</v>
      </c>
      <c r="R95" s="36">
        <v>2.5</v>
      </c>
      <c r="S95" s="36">
        <v>2.5</v>
      </c>
      <c r="T95" s="36">
        <v>2.5</v>
      </c>
      <c r="U95" s="36">
        <v>2.5</v>
      </c>
      <c r="V95" s="36">
        <v>2.5</v>
      </c>
      <c r="W95" s="36">
        <v>2.5</v>
      </c>
      <c r="X95" s="18">
        <v>0</v>
      </c>
      <c r="Y95" s="38">
        <v>0</v>
      </c>
      <c r="Z95" s="38">
        <v>0</v>
      </c>
    </row>
    <row r="96" spans="1:26" x14ac:dyDescent="0.3">
      <c r="A96" s="80"/>
      <c r="B96" s="60"/>
      <c r="C96" s="61" t="s">
        <v>123</v>
      </c>
      <c r="D96" s="62" t="s">
        <v>123</v>
      </c>
      <c r="E96" s="63" t="s">
        <v>130</v>
      </c>
      <c r="F96" s="64" t="s">
        <v>130</v>
      </c>
      <c r="G96" s="36">
        <v>9</v>
      </c>
      <c r="H96" s="36">
        <v>10</v>
      </c>
      <c r="I96" s="36">
        <v>9</v>
      </c>
      <c r="J96" s="36">
        <v>9</v>
      </c>
      <c r="K96" s="36">
        <v>9</v>
      </c>
      <c r="L96" s="36">
        <v>9</v>
      </c>
      <c r="M96" s="36">
        <v>9</v>
      </c>
      <c r="N96" s="36">
        <v>9</v>
      </c>
      <c r="O96" s="36">
        <v>9</v>
      </c>
      <c r="P96" s="36">
        <v>9</v>
      </c>
      <c r="Q96" s="36">
        <v>9</v>
      </c>
      <c r="R96" s="36">
        <v>9</v>
      </c>
      <c r="S96" s="36">
        <v>9</v>
      </c>
      <c r="T96" s="36">
        <v>9</v>
      </c>
      <c r="U96" s="36">
        <v>9</v>
      </c>
      <c r="V96" s="36">
        <v>9</v>
      </c>
      <c r="W96" s="36">
        <v>9</v>
      </c>
      <c r="X96" s="18">
        <v>0</v>
      </c>
      <c r="Y96" s="38">
        <v>0</v>
      </c>
      <c r="Z96" s="38">
        <v>0</v>
      </c>
    </row>
    <row r="97" spans="1:26" x14ac:dyDescent="0.3">
      <c r="A97" s="80"/>
      <c r="B97" s="60"/>
      <c r="C97" s="47"/>
      <c r="D97" s="48"/>
      <c r="E97" s="49"/>
      <c r="F97" s="50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42">
        <v>1</v>
      </c>
      <c r="Y97" s="38"/>
      <c r="Z97" s="38"/>
    </row>
    <row r="98" spans="1:26" x14ac:dyDescent="0.3">
      <c r="A98" s="80"/>
      <c r="B98" s="60"/>
      <c r="C98" s="61" t="s">
        <v>124</v>
      </c>
      <c r="D98" s="62" t="s">
        <v>124</v>
      </c>
      <c r="E98" s="63" t="s">
        <v>35</v>
      </c>
      <c r="F98" s="64" t="s">
        <v>35</v>
      </c>
      <c r="G98" s="36">
        <v>1</v>
      </c>
      <c r="H98" s="36">
        <v>1</v>
      </c>
      <c r="I98" s="36">
        <v>1</v>
      </c>
      <c r="J98" s="36">
        <v>1</v>
      </c>
      <c r="K98" s="36">
        <v>1</v>
      </c>
      <c r="L98" s="36">
        <v>1</v>
      </c>
      <c r="M98" s="36">
        <v>1</v>
      </c>
      <c r="N98" s="36">
        <v>1</v>
      </c>
      <c r="O98" s="36">
        <v>1</v>
      </c>
      <c r="P98" s="36">
        <v>1</v>
      </c>
      <c r="Q98" s="36">
        <v>1</v>
      </c>
      <c r="R98" s="36">
        <v>1</v>
      </c>
      <c r="S98" s="36">
        <v>1</v>
      </c>
      <c r="T98" s="36">
        <v>1</v>
      </c>
      <c r="U98" s="36">
        <v>1</v>
      </c>
      <c r="V98" s="36">
        <v>1</v>
      </c>
      <c r="W98" s="36">
        <v>1</v>
      </c>
      <c r="X98" s="18">
        <v>0</v>
      </c>
      <c r="Y98" s="38">
        <v>0</v>
      </c>
      <c r="Z98" s="38">
        <v>0</v>
      </c>
    </row>
    <row r="99" spans="1:26" x14ac:dyDescent="0.3">
      <c r="A99" s="80"/>
      <c r="B99" s="60"/>
      <c r="C99" s="61" t="s">
        <v>125</v>
      </c>
      <c r="D99" s="62" t="s">
        <v>125</v>
      </c>
      <c r="E99" s="63" t="s">
        <v>39</v>
      </c>
      <c r="F99" s="64" t="s">
        <v>39</v>
      </c>
      <c r="G99" s="36">
        <v>1</v>
      </c>
      <c r="H99" s="36">
        <v>2</v>
      </c>
      <c r="I99" s="36">
        <v>1</v>
      </c>
      <c r="J99" s="36">
        <v>1</v>
      </c>
      <c r="K99" s="36">
        <v>1</v>
      </c>
      <c r="L99" s="36">
        <v>1</v>
      </c>
      <c r="M99" s="36">
        <v>1</v>
      </c>
      <c r="N99" s="36">
        <v>1</v>
      </c>
      <c r="O99" s="36">
        <v>1</v>
      </c>
      <c r="P99" s="36">
        <v>1</v>
      </c>
      <c r="Q99" s="36">
        <v>1</v>
      </c>
      <c r="R99" s="36">
        <v>1</v>
      </c>
      <c r="S99" s="36">
        <v>1</v>
      </c>
      <c r="T99" s="36">
        <v>1</v>
      </c>
      <c r="U99" s="36">
        <v>1</v>
      </c>
      <c r="V99" s="36">
        <v>1</v>
      </c>
      <c r="W99" s="36">
        <v>1</v>
      </c>
      <c r="X99" s="18">
        <v>0</v>
      </c>
      <c r="Y99" s="38">
        <v>0</v>
      </c>
      <c r="Z99" s="38">
        <v>0</v>
      </c>
    </row>
    <row r="100" spans="1:26" x14ac:dyDescent="0.3">
      <c r="A100" s="80"/>
      <c r="B100" s="60"/>
      <c r="C100" s="47"/>
      <c r="D100" s="48"/>
      <c r="E100" s="49"/>
      <c r="F100" s="50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42">
        <v>1</v>
      </c>
      <c r="Y100" s="38"/>
      <c r="Z100" s="38"/>
    </row>
    <row r="101" spans="1:26" x14ac:dyDescent="0.3">
      <c r="A101" s="80"/>
      <c r="B101" s="60"/>
      <c r="C101" s="61" t="s">
        <v>68</v>
      </c>
      <c r="D101" s="62" t="s">
        <v>68</v>
      </c>
      <c r="E101" s="63" t="s">
        <v>130</v>
      </c>
      <c r="F101" s="64" t="s">
        <v>130</v>
      </c>
      <c r="G101" s="36">
        <v>1.5</v>
      </c>
      <c r="H101" s="36">
        <v>1.5</v>
      </c>
      <c r="I101" s="36">
        <v>1.5</v>
      </c>
      <c r="J101" s="36">
        <v>1.5</v>
      </c>
      <c r="K101" s="36">
        <v>1.5</v>
      </c>
      <c r="L101" s="36">
        <v>1.5</v>
      </c>
      <c r="M101" s="36">
        <v>1.5</v>
      </c>
      <c r="N101" s="36">
        <v>1.5</v>
      </c>
      <c r="O101" s="36">
        <v>1.5</v>
      </c>
      <c r="P101" s="36">
        <v>1.5</v>
      </c>
      <c r="Q101" s="36">
        <v>1.5</v>
      </c>
      <c r="R101" s="36">
        <v>1.5</v>
      </c>
      <c r="S101" s="36">
        <v>1.5</v>
      </c>
      <c r="T101" s="36">
        <v>1.5</v>
      </c>
      <c r="U101" s="36">
        <v>1.5</v>
      </c>
      <c r="V101" s="36">
        <v>1.5</v>
      </c>
      <c r="W101" s="36">
        <v>1.5</v>
      </c>
      <c r="X101" s="18">
        <v>0</v>
      </c>
      <c r="Y101" s="38">
        <v>0</v>
      </c>
      <c r="Z101" s="38">
        <v>0</v>
      </c>
    </row>
    <row r="102" spans="1:26" x14ac:dyDescent="0.3">
      <c r="A102" s="80"/>
      <c r="B102" s="59"/>
      <c r="C102" s="61" t="s">
        <v>69</v>
      </c>
      <c r="D102" s="62" t="s">
        <v>69</v>
      </c>
      <c r="E102" s="63" t="s">
        <v>37</v>
      </c>
      <c r="F102" s="64" t="s">
        <v>37</v>
      </c>
      <c r="G102" s="36">
        <v>1</v>
      </c>
      <c r="H102" s="36">
        <v>1</v>
      </c>
      <c r="I102" s="36">
        <v>1</v>
      </c>
      <c r="J102" s="36">
        <v>1</v>
      </c>
      <c r="K102" s="36">
        <v>1</v>
      </c>
      <c r="L102" s="36">
        <v>1</v>
      </c>
      <c r="M102" s="36">
        <v>1</v>
      </c>
      <c r="N102" s="36">
        <v>1</v>
      </c>
      <c r="O102" s="36">
        <v>1</v>
      </c>
      <c r="P102" s="36">
        <v>1</v>
      </c>
      <c r="Q102" s="36">
        <v>1</v>
      </c>
      <c r="R102" s="36">
        <v>1</v>
      </c>
      <c r="S102" s="36">
        <v>1</v>
      </c>
      <c r="T102" s="36">
        <v>1</v>
      </c>
      <c r="U102" s="36">
        <v>1</v>
      </c>
      <c r="V102" s="36">
        <v>1</v>
      </c>
      <c r="W102" s="36">
        <v>1</v>
      </c>
      <c r="X102" s="18">
        <v>0</v>
      </c>
      <c r="Y102" s="38">
        <v>0</v>
      </c>
      <c r="Z102" s="38">
        <v>0</v>
      </c>
    </row>
    <row r="103" spans="1:26" ht="16.8" customHeight="1" x14ac:dyDescent="0.3">
      <c r="A103" s="80"/>
      <c r="B103" s="58" t="s">
        <v>101</v>
      </c>
      <c r="C103" s="61" t="s">
        <v>126</v>
      </c>
      <c r="D103" s="62" t="s">
        <v>126</v>
      </c>
      <c r="E103" s="63" t="s">
        <v>44</v>
      </c>
      <c r="F103" s="64" t="s">
        <v>44</v>
      </c>
      <c r="G103" s="36">
        <v>2.5</v>
      </c>
      <c r="H103" s="36">
        <v>2.5</v>
      </c>
      <c r="I103" s="36">
        <v>2.5</v>
      </c>
      <c r="J103" s="36">
        <v>2.5</v>
      </c>
      <c r="K103" s="36">
        <v>2.5</v>
      </c>
      <c r="L103" s="36">
        <v>2.5</v>
      </c>
      <c r="M103" s="36">
        <v>2.5</v>
      </c>
      <c r="N103" s="36">
        <v>2.5</v>
      </c>
      <c r="O103" s="36">
        <v>2.5</v>
      </c>
      <c r="P103" s="36">
        <v>2.5</v>
      </c>
      <c r="Q103" s="36">
        <v>2.5</v>
      </c>
      <c r="R103" s="36">
        <v>2.5</v>
      </c>
      <c r="S103" s="36">
        <v>2.5</v>
      </c>
      <c r="T103" s="36">
        <v>2.5</v>
      </c>
      <c r="U103" s="36">
        <v>2.5</v>
      </c>
      <c r="V103" s="36">
        <v>2.5</v>
      </c>
      <c r="W103" s="36">
        <v>2.5</v>
      </c>
      <c r="X103" s="36">
        <v>2.5</v>
      </c>
      <c r="Y103" s="18">
        <v>0</v>
      </c>
      <c r="Z103" s="38">
        <v>0</v>
      </c>
    </row>
    <row r="104" spans="1:26" x14ac:dyDescent="0.3">
      <c r="A104" s="80"/>
      <c r="B104" s="60"/>
      <c r="C104" s="61" t="s">
        <v>127</v>
      </c>
      <c r="D104" s="62" t="s">
        <v>127</v>
      </c>
      <c r="E104" s="63" t="s">
        <v>48</v>
      </c>
      <c r="F104" s="64" t="s">
        <v>48</v>
      </c>
      <c r="G104" s="36">
        <v>9</v>
      </c>
      <c r="H104" s="36">
        <v>9</v>
      </c>
      <c r="I104" s="36">
        <v>9</v>
      </c>
      <c r="J104" s="36">
        <v>9</v>
      </c>
      <c r="K104" s="36">
        <v>9</v>
      </c>
      <c r="L104" s="36">
        <v>9</v>
      </c>
      <c r="M104" s="36">
        <v>9</v>
      </c>
      <c r="N104" s="36">
        <v>9</v>
      </c>
      <c r="O104" s="36">
        <v>9</v>
      </c>
      <c r="P104" s="36">
        <v>9</v>
      </c>
      <c r="Q104" s="36">
        <v>9</v>
      </c>
      <c r="R104" s="36">
        <v>9</v>
      </c>
      <c r="S104" s="36">
        <v>9</v>
      </c>
      <c r="T104" s="36">
        <v>9</v>
      </c>
      <c r="U104" s="36">
        <v>9</v>
      </c>
      <c r="V104" s="36">
        <v>9</v>
      </c>
      <c r="W104" s="36">
        <v>9</v>
      </c>
      <c r="X104" s="36">
        <v>9</v>
      </c>
      <c r="Y104" s="18">
        <v>0</v>
      </c>
      <c r="Z104" s="38">
        <v>0</v>
      </c>
    </row>
    <row r="105" spans="1:26" x14ac:dyDescent="0.3">
      <c r="A105" s="80"/>
      <c r="B105" s="60"/>
      <c r="C105" s="61" t="s">
        <v>128</v>
      </c>
      <c r="D105" s="62" t="s">
        <v>128</v>
      </c>
      <c r="E105" s="63" t="s">
        <v>35</v>
      </c>
      <c r="F105" s="64" t="s">
        <v>35</v>
      </c>
      <c r="G105" s="36">
        <v>1</v>
      </c>
      <c r="H105" s="36">
        <v>1</v>
      </c>
      <c r="I105" s="36">
        <v>1</v>
      </c>
      <c r="J105" s="36">
        <v>1</v>
      </c>
      <c r="K105" s="36">
        <v>1</v>
      </c>
      <c r="L105" s="36">
        <v>1</v>
      </c>
      <c r="M105" s="36">
        <v>1</v>
      </c>
      <c r="N105" s="36">
        <v>1</v>
      </c>
      <c r="O105" s="36">
        <v>1</v>
      </c>
      <c r="P105" s="36">
        <v>1</v>
      </c>
      <c r="Q105" s="36">
        <v>1</v>
      </c>
      <c r="R105" s="36">
        <v>1</v>
      </c>
      <c r="S105" s="36">
        <v>1</v>
      </c>
      <c r="T105" s="36">
        <v>1</v>
      </c>
      <c r="U105" s="36">
        <v>1</v>
      </c>
      <c r="V105" s="36">
        <v>1</v>
      </c>
      <c r="W105" s="36">
        <v>1</v>
      </c>
      <c r="X105" s="36">
        <v>1</v>
      </c>
      <c r="Y105" s="18">
        <v>0</v>
      </c>
      <c r="Z105" s="38">
        <v>0</v>
      </c>
    </row>
    <row r="106" spans="1:26" x14ac:dyDescent="0.3">
      <c r="A106" s="80"/>
      <c r="B106" s="60"/>
      <c r="C106" s="61" t="s">
        <v>129</v>
      </c>
      <c r="D106" s="62" t="s">
        <v>129</v>
      </c>
      <c r="E106" s="63" t="s">
        <v>37</v>
      </c>
      <c r="F106" s="64" t="s">
        <v>37</v>
      </c>
      <c r="G106" s="36">
        <v>1</v>
      </c>
      <c r="H106" s="36">
        <v>1</v>
      </c>
      <c r="I106" s="36">
        <v>1</v>
      </c>
      <c r="J106" s="36">
        <v>1</v>
      </c>
      <c r="K106" s="36">
        <v>1</v>
      </c>
      <c r="L106" s="36">
        <v>1</v>
      </c>
      <c r="M106" s="36">
        <v>1</v>
      </c>
      <c r="N106" s="36">
        <v>1</v>
      </c>
      <c r="O106" s="36">
        <v>1</v>
      </c>
      <c r="P106" s="36">
        <v>1</v>
      </c>
      <c r="Q106" s="36">
        <v>1</v>
      </c>
      <c r="R106" s="36">
        <v>1</v>
      </c>
      <c r="S106" s="36">
        <v>1</v>
      </c>
      <c r="T106" s="36">
        <v>1</v>
      </c>
      <c r="U106" s="36">
        <v>1</v>
      </c>
      <c r="V106" s="36">
        <v>1</v>
      </c>
      <c r="W106" s="36">
        <v>1</v>
      </c>
      <c r="X106" s="36">
        <v>1</v>
      </c>
      <c r="Y106" s="18">
        <v>0</v>
      </c>
      <c r="Z106" s="38">
        <v>0</v>
      </c>
    </row>
    <row r="107" spans="1:26" x14ac:dyDescent="0.3">
      <c r="A107" s="80"/>
      <c r="B107" s="60"/>
      <c r="C107" s="61" t="s">
        <v>68</v>
      </c>
      <c r="D107" s="62" t="s">
        <v>68</v>
      </c>
      <c r="E107" s="63" t="s">
        <v>48</v>
      </c>
      <c r="F107" s="64" t="s">
        <v>48</v>
      </c>
      <c r="G107" s="36">
        <v>1.5</v>
      </c>
      <c r="H107" s="36">
        <v>1.5</v>
      </c>
      <c r="I107" s="36">
        <v>1.5</v>
      </c>
      <c r="J107" s="36">
        <v>1.5</v>
      </c>
      <c r="K107" s="36">
        <v>1.5</v>
      </c>
      <c r="L107" s="36">
        <v>1.5</v>
      </c>
      <c r="M107" s="36">
        <v>1.5</v>
      </c>
      <c r="N107" s="36">
        <v>1.5</v>
      </c>
      <c r="O107" s="36">
        <v>1.5</v>
      </c>
      <c r="P107" s="36">
        <v>1.5</v>
      </c>
      <c r="Q107" s="36">
        <v>1.5</v>
      </c>
      <c r="R107" s="36">
        <v>1.5</v>
      </c>
      <c r="S107" s="36">
        <v>1.5</v>
      </c>
      <c r="T107" s="36">
        <v>1.5</v>
      </c>
      <c r="U107" s="36">
        <v>1.5</v>
      </c>
      <c r="V107" s="36">
        <v>1.5</v>
      </c>
      <c r="W107" s="36">
        <v>1.5</v>
      </c>
      <c r="X107" s="36">
        <v>1.5</v>
      </c>
      <c r="Y107" s="18">
        <v>0</v>
      </c>
      <c r="Z107" s="38">
        <v>0</v>
      </c>
    </row>
    <row r="108" spans="1:26" x14ac:dyDescent="0.3">
      <c r="A108" s="80"/>
      <c r="B108" s="59"/>
      <c r="C108" s="61" t="s">
        <v>69</v>
      </c>
      <c r="D108" s="62" t="s">
        <v>69</v>
      </c>
      <c r="E108" s="63" t="s">
        <v>38</v>
      </c>
      <c r="F108" s="64" t="s">
        <v>38</v>
      </c>
      <c r="G108" s="36">
        <v>1</v>
      </c>
      <c r="H108" s="36">
        <v>1</v>
      </c>
      <c r="I108" s="36">
        <v>1</v>
      </c>
      <c r="J108" s="36">
        <v>1</v>
      </c>
      <c r="K108" s="36">
        <v>1</v>
      </c>
      <c r="L108" s="36">
        <v>1</v>
      </c>
      <c r="M108" s="36">
        <v>1</v>
      </c>
      <c r="N108" s="36">
        <v>1</v>
      </c>
      <c r="O108" s="36">
        <v>1</v>
      </c>
      <c r="P108" s="36">
        <v>1</v>
      </c>
      <c r="Q108" s="36">
        <v>1</v>
      </c>
      <c r="R108" s="36">
        <v>1</v>
      </c>
      <c r="S108" s="36">
        <v>1</v>
      </c>
      <c r="T108" s="36">
        <v>1</v>
      </c>
      <c r="U108" s="36">
        <v>1</v>
      </c>
      <c r="V108" s="36">
        <v>1</v>
      </c>
      <c r="W108" s="36">
        <v>1</v>
      </c>
      <c r="X108" s="36">
        <v>1</v>
      </c>
      <c r="Y108" s="18">
        <v>0</v>
      </c>
      <c r="Z108" s="38">
        <v>0</v>
      </c>
    </row>
    <row r="109" spans="1:26" ht="16.8" customHeight="1" x14ac:dyDescent="0.3">
      <c r="A109" s="80"/>
      <c r="B109" s="58" t="s">
        <v>17</v>
      </c>
      <c r="C109" s="61" t="s">
        <v>15</v>
      </c>
      <c r="D109" s="62"/>
      <c r="E109" s="81" t="s">
        <v>40</v>
      </c>
      <c r="F109" s="82"/>
      <c r="G109" s="36">
        <v>3</v>
      </c>
      <c r="H109" s="36">
        <v>3</v>
      </c>
      <c r="I109" s="36">
        <v>3</v>
      </c>
      <c r="J109" s="36">
        <v>3</v>
      </c>
      <c r="K109" s="36">
        <v>3</v>
      </c>
      <c r="L109" s="36">
        <v>3</v>
      </c>
      <c r="M109" s="36">
        <v>3</v>
      </c>
      <c r="N109" s="36">
        <v>3</v>
      </c>
      <c r="O109" s="36">
        <v>3</v>
      </c>
      <c r="P109" s="36">
        <v>3</v>
      </c>
      <c r="Q109" s="36">
        <v>3</v>
      </c>
      <c r="R109" s="36">
        <v>3</v>
      </c>
      <c r="S109" s="36">
        <v>3</v>
      </c>
      <c r="T109" s="36">
        <v>3</v>
      </c>
      <c r="U109" s="36">
        <v>3</v>
      </c>
      <c r="V109" s="36">
        <v>3</v>
      </c>
      <c r="W109" s="36">
        <v>3</v>
      </c>
      <c r="X109" s="36">
        <v>3</v>
      </c>
      <c r="Y109" s="36">
        <v>3</v>
      </c>
      <c r="Z109" s="18">
        <v>0</v>
      </c>
    </row>
    <row r="110" spans="1:26" x14ac:dyDescent="0.3">
      <c r="A110" s="80"/>
      <c r="B110" s="59"/>
      <c r="C110" s="61" t="s">
        <v>16</v>
      </c>
      <c r="D110" s="62"/>
      <c r="E110" s="81" t="s">
        <v>40</v>
      </c>
      <c r="F110" s="82"/>
      <c r="G110" s="36">
        <v>2</v>
      </c>
      <c r="H110" s="36">
        <v>2</v>
      </c>
      <c r="I110" s="36">
        <v>2</v>
      </c>
      <c r="J110" s="36">
        <v>2</v>
      </c>
      <c r="K110" s="36">
        <v>2</v>
      </c>
      <c r="L110" s="36">
        <v>2</v>
      </c>
      <c r="M110" s="36">
        <v>2</v>
      </c>
      <c r="N110" s="36">
        <v>2</v>
      </c>
      <c r="O110" s="36">
        <v>2</v>
      </c>
      <c r="P110" s="36">
        <v>2</v>
      </c>
      <c r="Q110" s="36">
        <v>2</v>
      </c>
      <c r="R110" s="36">
        <v>2</v>
      </c>
      <c r="S110" s="36">
        <v>2</v>
      </c>
      <c r="T110" s="36">
        <v>2</v>
      </c>
      <c r="U110" s="36">
        <v>2</v>
      </c>
      <c r="V110" s="36">
        <v>2</v>
      </c>
      <c r="W110" s="36">
        <v>2</v>
      </c>
      <c r="X110" s="36">
        <v>2</v>
      </c>
      <c r="Y110" s="36">
        <v>2</v>
      </c>
      <c r="Z110" s="18">
        <v>0</v>
      </c>
    </row>
    <row r="111" spans="1:26" s="39" customFormat="1" x14ac:dyDescent="0.3">
      <c r="A111" s="80"/>
      <c r="B111" s="83" t="s">
        <v>12</v>
      </c>
      <c r="C111" s="83"/>
      <c r="D111" s="83"/>
      <c r="E111" s="69" t="s">
        <v>11</v>
      </c>
      <c r="F111" s="69"/>
      <c r="G111" s="69">
        <f>SUM(H16:H110)</f>
        <v>241</v>
      </c>
      <c r="H111" s="69"/>
      <c r="I111" s="18">
        <f>SUM(I16:I110)</f>
        <v>234</v>
      </c>
      <c r="J111" s="18">
        <f>SUM(J20:J110)-K22</f>
        <v>228</v>
      </c>
      <c r="K111" s="18">
        <f>SUM(K27:K110)-L29</f>
        <v>212</v>
      </c>
      <c r="L111" s="18">
        <f>SUM(L34:L110)</f>
        <v>197</v>
      </c>
      <c r="M111" s="18">
        <f>SUM(M40:M110)+N42+N45</f>
        <v>184</v>
      </c>
      <c r="N111" s="18">
        <f>SUM(N48:N110)+1</f>
        <v>166</v>
      </c>
      <c r="O111" s="18">
        <f>SUM(O55:O110)</f>
        <v>149</v>
      </c>
      <c r="P111" s="18">
        <f>SUM(P61:P110)+Q62</f>
        <v>133</v>
      </c>
      <c r="Q111" s="18">
        <f>SUM(Q68:Q110)-R70</f>
        <v>115</v>
      </c>
      <c r="R111" s="18">
        <f>SUM(R72:R110)</f>
        <v>98</v>
      </c>
      <c r="S111" s="18">
        <f>SUM(S75:S110)+T77</f>
        <v>95</v>
      </c>
      <c r="T111" s="18">
        <f>SUM(T82:T110)</f>
        <v>77</v>
      </c>
      <c r="U111" s="18">
        <f>SUM(U85:U110)</f>
        <v>58</v>
      </c>
      <c r="V111" s="18">
        <f>SUM(V88:V110)+W91</f>
        <v>54</v>
      </c>
      <c r="W111" s="18">
        <f>SUM(W95:W110)+X97+X100</f>
        <v>39</v>
      </c>
      <c r="X111" s="18">
        <f>SUM(X103:X110)</f>
        <v>21</v>
      </c>
      <c r="Y111" s="18">
        <f>SUM(Y109:Y110)</f>
        <v>5</v>
      </c>
      <c r="Z111" s="18">
        <f>SUM(Z16:Z110)</f>
        <v>0</v>
      </c>
    </row>
    <row r="112" spans="1:26" s="39" customFormat="1" x14ac:dyDescent="0.3">
      <c r="A112" s="80"/>
      <c r="B112" s="83"/>
      <c r="C112" s="83"/>
      <c r="D112" s="83"/>
      <c r="E112" s="69" t="s">
        <v>25</v>
      </c>
      <c r="F112" s="69"/>
      <c r="G112" s="69">
        <f>SUM(G16:G110)</f>
        <v>234</v>
      </c>
      <c r="H112" s="69"/>
      <c r="I112" s="18">
        <f>SUM(I16:I110)</f>
        <v>234</v>
      </c>
      <c r="J112" s="18">
        <f>SUM(J16:J110)</f>
        <v>229</v>
      </c>
      <c r="K112" s="18">
        <f>SUM(K27:K110)</f>
        <v>213</v>
      </c>
      <c r="L112" s="18">
        <f>SUM(L34:L110)</f>
        <v>197</v>
      </c>
      <c r="M112" s="18">
        <f>SUM(M40:M110)</f>
        <v>181</v>
      </c>
      <c r="N112" s="18">
        <f>SUM(N48:N110)</f>
        <v>165</v>
      </c>
      <c r="O112" s="18">
        <f>SUM(O55:O110)</f>
        <v>149</v>
      </c>
      <c r="P112" s="18">
        <f>SUM(P16:P110)</f>
        <v>132</v>
      </c>
      <c r="Q112" s="18">
        <f>SUM(Q68:Q110)</f>
        <v>116</v>
      </c>
      <c r="R112" s="18">
        <f>SUM(R72:R110)</f>
        <v>98</v>
      </c>
      <c r="S112" s="18">
        <f>SUM(S75:S110)</f>
        <v>93</v>
      </c>
      <c r="T112" s="18">
        <f>SUM(T82:T110)</f>
        <v>77</v>
      </c>
      <c r="U112" s="18">
        <f>SUM(U85:U110)</f>
        <v>58</v>
      </c>
      <c r="V112" s="18">
        <f>SUM(V88:V110)</f>
        <v>53</v>
      </c>
      <c r="W112" s="18">
        <f>SUM(W95:W110)</f>
        <v>37</v>
      </c>
      <c r="X112" s="18">
        <f>SUM(X103:X110)</f>
        <v>21</v>
      </c>
      <c r="Y112" s="18">
        <f>SUM(Y109:Y110)</f>
        <v>5</v>
      </c>
      <c r="Z112" s="18">
        <f>SUM(Z16:Z110)</f>
        <v>0</v>
      </c>
    </row>
  </sheetData>
  <mergeCells count="196">
    <mergeCell ref="E60:F60"/>
    <mergeCell ref="B111:D112"/>
    <mergeCell ref="E68:F68"/>
    <mergeCell ref="E71:F71"/>
    <mergeCell ref="E69:F69"/>
    <mergeCell ref="E67:F67"/>
    <mergeCell ref="E66:F66"/>
    <mergeCell ref="E53:F53"/>
    <mergeCell ref="E57:F57"/>
    <mergeCell ref="C65:D65"/>
    <mergeCell ref="C64:D64"/>
    <mergeCell ref="B48:B54"/>
    <mergeCell ref="C48:D48"/>
    <mergeCell ref="C52:D52"/>
    <mergeCell ref="B55:B60"/>
    <mergeCell ref="C60:D60"/>
    <mergeCell ref="B61:B67"/>
    <mergeCell ref="C61:D61"/>
    <mergeCell ref="C63:D63"/>
    <mergeCell ref="C59:D59"/>
    <mergeCell ref="B75:B81"/>
    <mergeCell ref="E79:F79"/>
    <mergeCell ref="E80:F80"/>
    <mergeCell ref="E81:F81"/>
    <mergeCell ref="E52:F52"/>
    <mergeCell ref="A16:A112"/>
    <mergeCell ref="E96:F96"/>
    <mergeCell ref="E109:F109"/>
    <mergeCell ref="E110:F110"/>
    <mergeCell ref="E111:F111"/>
    <mergeCell ref="E112:F112"/>
    <mergeCell ref="E86:F86"/>
    <mergeCell ref="E87:F87"/>
    <mergeCell ref="E88:F88"/>
    <mergeCell ref="E89:F89"/>
    <mergeCell ref="E90:F90"/>
    <mergeCell ref="E75:F75"/>
    <mergeCell ref="E76:F76"/>
    <mergeCell ref="E78:F78"/>
    <mergeCell ref="E63:F63"/>
    <mergeCell ref="E61:F61"/>
    <mergeCell ref="E47:F47"/>
    <mergeCell ref="E58:F58"/>
    <mergeCell ref="E59:F59"/>
    <mergeCell ref="E36:F36"/>
    <mergeCell ref="E37:F37"/>
    <mergeCell ref="E50:F50"/>
    <mergeCell ref="E51:F51"/>
    <mergeCell ref="E48:F48"/>
    <mergeCell ref="E39:F39"/>
    <mergeCell ref="E40:F40"/>
    <mergeCell ref="A1:B1"/>
    <mergeCell ref="A2:B2"/>
    <mergeCell ref="A3:B3"/>
    <mergeCell ref="A4:B4"/>
    <mergeCell ref="B6:E6"/>
    <mergeCell ref="B13:C13"/>
    <mergeCell ref="C15:D15"/>
    <mergeCell ref="E15:F15"/>
    <mergeCell ref="E28:F28"/>
    <mergeCell ref="E16:F16"/>
    <mergeCell ref="E17:F17"/>
    <mergeCell ref="E19:F19"/>
    <mergeCell ref="B18:D18"/>
    <mergeCell ref="E18:F18"/>
    <mergeCell ref="B27:B33"/>
    <mergeCell ref="C34:D34"/>
    <mergeCell ref="C33:D33"/>
    <mergeCell ref="B34:B39"/>
    <mergeCell ref="B40:B47"/>
    <mergeCell ref="C35:D35"/>
    <mergeCell ref="C37:D37"/>
    <mergeCell ref="G112:H112"/>
    <mergeCell ref="C109:D109"/>
    <mergeCell ref="G111:H111"/>
    <mergeCell ref="B16:D16"/>
    <mergeCell ref="B17:D17"/>
    <mergeCell ref="C21:D21"/>
    <mergeCell ref="C23:D23"/>
    <mergeCell ref="C24:D24"/>
    <mergeCell ref="C25:D25"/>
    <mergeCell ref="C26:D26"/>
    <mergeCell ref="E64:F64"/>
    <mergeCell ref="B19:D19"/>
    <mergeCell ref="B20:B26"/>
    <mergeCell ref="E95:F95"/>
    <mergeCell ref="E85:F85"/>
    <mergeCell ref="E25:F25"/>
    <mergeCell ref="E38:F38"/>
    <mergeCell ref="E27:F27"/>
    <mergeCell ref="E35:F35"/>
    <mergeCell ref="C46:D46"/>
    <mergeCell ref="C47:D47"/>
    <mergeCell ref="E46:F46"/>
    <mergeCell ref="E44:F44"/>
    <mergeCell ref="C66:D66"/>
    <mergeCell ref="C110:D110"/>
    <mergeCell ref="C75:D75"/>
    <mergeCell ref="C74:D74"/>
    <mergeCell ref="C73:D73"/>
    <mergeCell ref="C67:D67"/>
    <mergeCell ref="C76:D76"/>
    <mergeCell ref="C78:D78"/>
    <mergeCell ref="C84:D84"/>
    <mergeCell ref="C80:D80"/>
    <mergeCell ref="C79:D79"/>
    <mergeCell ref="C94:D94"/>
    <mergeCell ref="C83:D83"/>
    <mergeCell ref="C69:D69"/>
    <mergeCell ref="C71:D71"/>
    <mergeCell ref="C93:D93"/>
    <mergeCell ref="C82:D82"/>
    <mergeCell ref="C81:D81"/>
    <mergeCell ref="C68:D68"/>
    <mergeCell ref="C101:D101"/>
    <mergeCell ref="E98:F98"/>
    <mergeCell ref="C99:D99"/>
    <mergeCell ref="E99:F99"/>
    <mergeCell ref="C90:D90"/>
    <mergeCell ref="E92:F92"/>
    <mergeCell ref="E93:F93"/>
    <mergeCell ref="E94:F94"/>
    <mergeCell ref="B95:B102"/>
    <mergeCell ref="C98:D98"/>
    <mergeCell ref="E101:F101"/>
    <mergeCell ref="C102:D102"/>
    <mergeCell ref="E102:F102"/>
    <mergeCell ref="C95:D95"/>
    <mergeCell ref="C92:D92"/>
    <mergeCell ref="C96:D96"/>
    <mergeCell ref="E72:F72"/>
    <mergeCell ref="C72:D72"/>
    <mergeCell ref="B103:B108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B88:B94"/>
    <mergeCell ref="C88:D88"/>
    <mergeCell ref="C89:D89"/>
    <mergeCell ref="B82:B87"/>
    <mergeCell ref="E82:F82"/>
    <mergeCell ref="C85:D85"/>
    <mergeCell ref="C86:D86"/>
    <mergeCell ref="C87:D87"/>
    <mergeCell ref="E83:F83"/>
    <mergeCell ref="C27:D27"/>
    <mergeCell ref="C20:D20"/>
    <mergeCell ref="E24:F24"/>
    <mergeCell ref="E23:F23"/>
    <mergeCell ref="E21:F21"/>
    <mergeCell ref="E20:F20"/>
    <mergeCell ref="C38:D38"/>
    <mergeCell ref="C36:D36"/>
    <mergeCell ref="C44:D44"/>
    <mergeCell ref="C43:D43"/>
    <mergeCell ref="C41:D41"/>
    <mergeCell ref="E41:F41"/>
    <mergeCell ref="C39:D39"/>
    <mergeCell ref="E26:F26"/>
    <mergeCell ref="E31:F31"/>
    <mergeCell ref="E30:F30"/>
    <mergeCell ref="E43:F43"/>
    <mergeCell ref="C40:D40"/>
    <mergeCell ref="B109:B110"/>
    <mergeCell ref="B68:B74"/>
    <mergeCell ref="C31:D31"/>
    <mergeCell ref="C32:D32"/>
    <mergeCell ref="E33:F33"/>
    <mergeCell ref="E32:F32"/>
    <mergeCell ref="E34:F34"/>
    <mergeCell ref="C30:D30"/>
    <mergeCell ref="C28:D28"/>
    <mergeCell ref="E56:F56"/>
    <mergeCell ref="E55:F55"/>
    <mergeCell ref="E54:F54"/>
    <mergeCell ref="E65:F65"/>
    <mergeCell ref="C58:D58"/>
    <mergeCell ref="C54:D54"/>
    <mergeCell ref="C53:D53"/>
    <mergeCell ref="C51:D51"/>
    <mergeCell ref="C57:D57"/>
    <mergeCell ref="C56:D56"/>
    <mergeCell ref="C55:D55"/>
    <mergeCell ref="C50:D50"/>
    <mergeCell ref="E84:F84"/>
    <mergeCell ref="E74:F74"/>
    <mergeCell ref="E73:F73"/>
  </mergeCells>
  <phoneticPr fontId="6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9"/>
  <sheetViews>
    <sheetView topLeftCell="A90" zoomScale="70" zoomScaleNormal="70" workbookViewId="0">
      <selection activeCell="AD84" sqref="AD84"/>
    </sheetView>
  </sheetViews>
  <sheetFormatPr defaultRowHeight="14.4" x14ac:dyDescent="0.3"/>
  <cols>
    <col min="1" max="1" width="13.5546875" customWidth="1"/>
    <col min="2" max="2" width="21.109375" customWidth="1"/>
    <col min="3" max="3" width="55.88671875" customWidth="1"/>
    <col min="4" max="4" width="12" customWidth="1"/>
    <col min="5" max="5" width="10.33203125" customWidth="1"/>
    <col min="6" max="6" width="20.109375" customWidth="1"/>
    <col min="7" max="10" width="6.109375" customWidth="1"/>
    <col min="11" max="21" width="6" customWidth="1"/>
    <col min="22" max="25" width="6.109375" customWidth="1"/>
  </cols>
  <sheetData>
    <row r="1" spans="1:28" ht="34.200000000000003" thickBot="1" x14ac:dyDescent="0.35">
      <c r="A1" s="72" t="s">
        <v>3</v>
      </c>
      <c r="B1" s="72"/>
      <c r="C1" s="30" t="s">
        <v>55</v>
      </c>
      <c r="D1" s="1"/>
      <c r="E1" s="7"/>
      <c r="F1" s="8" t="s">
        <v>33</v>
      </c>
      <c r="AA1" s="46"/>
      <c r="AB1" s="46"/>
    </row>
    <row r="2" spans="1:28" ht="17.399999999999999" thickBot="1" x14ac:dyDescent="0.35">
      <c r="A2" s="72" t="s">
        <v>2</v>
      </c>
      <c r="B2" s="72"/>
      <c r="C2" s="2" t="s">
        <v>18</v>
      </c>
      <c r="D2" s="1"/>
      <c r="E2" s="9"/>
      <c r="F2" s="10" t="s">
        <v>32</v>
      </c>
      <c r="AA2" s="46"/>
      <c r="AB2" s="46"/>
    </row>
    <row r="3" spans="1:28" ht="17.399999999999999" thickBot="1" x14ac:dyDescent="0.35">
      <c r="A3" s="72" t="s">
        <v>1</v>
      </c>
      <c r="B3" s="72"/>
      <c r="C3" s="3">
        <v>46146</v>
      </c>
      <c r="D3" s="1"/>
      <c r="E3" s="11"/>
      <c r="F3" s="10" t="s">
        <v>31</v>
      </c>
      <c r="AA3" s="46"/>
      <c r="AB3" s="46"/>
    </row>
    <row r="4" spans="1:28" ht="18" customHeight="1" thickBot="1" x14ac:dyDescent="0.35">
      <c r="A4" s="72" t="s">
        <v>0</v>
      </c>
      <c r="B4" s="72"/>
      <c r="C4" s="3" t="s">
        <v>57</v>
      </c>
      <c r="D4" s="1"/>
      <c r="E4" s="12"/>
      <c r="F4" s="10" t="s">
        <v>30</v>
      </c>
      <c r="AA4" s="46"/>
      <c r="AB4" s="46"/>
    </row>
    <row r="5" spans="1:28" ht="18" customHeight="1" thickBot="1" x14ac:dyDescent="0.35">
      <c r="A5" s="1"/>
      <c r="B5" s="1"/>
      <c r="C5" s="1"/>
      <c r="D5" s="1"/>
      <c r="E5" s="13"/>
      <c r="F5" s="14" t="s">
        <v>29</v>
      </c>
      <c r="AA5" s="46"/>
      <c r="AB5" s="46"/>
    </row>
    <row r="6" spans="1:28" ht="17.399999999999999" thickBot="1" x14ac:dyDescent="0.35">
      <c r="A6" s="1"/>
      <c r="B6" s="89" t="s">
        <v>19</v>
      </c>
      <c r="C6" s="89"/>
      <c r="D6" s="89"/>
      <c r="E6" s="90"/>
      <c r="AA6" s="46"/>
      <c r="AB6" s="46"/>
    </row>
    <row r="7" spans="1:28" ht="17.399999999999999" thickBot="1" x14ac:dyDescent="0.35">
      <c r="A7" s="1"/>
      <c r="B7" s="5" t="s">
        <v>6</v>
      </c>
      <c r="C7" s="5" t="s">
        <v>26</v>
      </c>
      <c r="D7" s="5" t="s">
        <v>11</v>
      </c>
      <c r="E7" s="5" t="s">
        <v>25</v>
      </c>
      <c r="AA7" s="46"/>
      <c r="AB7" s="46"/>
    </row>
    <row r="8" spans="1:28" ht="17.399999999999999" thickBot="1" x14ac:dyDescent="0.35">
      <c r="A8" s="1"/>
      <c r="B8" s="6">
        <v>1</v>
      </c>
      <c r="C8" s="2" t="s">
        <v>50</v>
      </c>
      <c r="D8" s="2">
        <f>ROUND((SUMIF($E$16:$E$290,"*Toàn*",$H$16:$H$290) + SUMIF(E$16:$E$290,"Toàn",$H$16:$H$290))/2 + SUMIF($E$16:$E$290,"All Team",$H$16:$H$290)/5, 2)</f>
        <v>49.5</v>
      </c>
      <c r="E8" s="2">
        <f>ROUND((SUMIF($E$16:$E$290,"*Toàn*",$G$16:$G$290) + SUMIF($E$16:E$290,"Toàn",$G$16:$G$290))/2 + SUMIF($E$16:$E$290,"All Team",$G$16:$G$290)/5, 2)</f>
        <v>49.55</v>
      </c>
      <c r="AA8" s="46"/>
      <c r="AB8" s="46"/>
    </row>
    <row r="9" spans="1:28" ht="17.399999999999999" thickBot="1" x14ac:dyDescent="0.35">
      <c r="A9" s="1"/>
      <c r="B9" s="6">
        <v>2</v>
      </c>
      <c r="C9" s="2" t="s">
        <v>51</v>
      </c>
      <c r="D9" s="2">
        <f>ROUND((SUMIF($E$16:$E$290,"*Phú*",$H$16:$H$290) + SUMIF(E$16:$E$290,"Phú",$H$16:$H$290))/2 + SUMIF($E$16:$E$290,"All Team",$H$16:$H$290)/5, 2)</f>
        <v>54.75</v>
      </c>
      <c r="E9" s="2">
        <f>ROUND((SUMIF($E$16:$E$290,"*Phú*",$G$16:$G$290) + SUMIF($E$16:E$290,"Phú",$G$16:$G$290))/2 + SUMIF($E$16:$E$290,"All Team",$G$16:$G$290)/5, 2)</f>
        <v>54.55</v>
      </c>
      <c r="H9" s="1"/>
      <c r="J9" s="1"/>
      <c r="AA9" s="46"/>
      <c r="AB9" s="46"/>
    </row>
    <row r="10" spans="1:28" ht="17.399999999999999" thickBot="1" x14ac:dyDescent="0.35">
      <c r="A10" s="1"/>
      <c r="B10" s="6">
        <v>3</v>
      </c>
      <c r="C10" s="2" t="s">
        <v>52</v>
      </c>
      <c r="D10" s="2">
        <f>ROUND((SUMIF($E$16:$E$290,"*Tú*",$H$16:$H$290) + SUMIF(E$16:$E$290,"Tú",$H$16:$H$290))/2 + SUMIF($E$16:$E$290,"All Team",$H$16:$H$290)/5, 2)</f>
        <v>40.25</v>
      </c>
      <c r="E10" s="2">
        <f>ROUND((SUMIF($E$16:$E$290,"*Tú*",$G$16:$G$290) + SUMIF($E$16:E$290,"Tú",$G$16:$G$290))/2 + SUMIF($E$16:$E$290,"All Team",$G$16:$G$290)/5, 2)</f>
        <v>38.299999999999997</v>
      </c>
      <c r="AA10" s="46"/>
      <c r="AB10" s="46"/>
    </row>
    <row r="11" spans="1:28" ht="17.399999999999999" thickBot="1" x14ac:dyDescent="0.35">
      <c r="A11" s="1"/>
      <c r="B11" s="6">
        <v>4</v>
      </c>
      <c r="C11" s="2" t="s">
        <v>53</v>
      </c>
      <c r="D11" s="2">
        <f>ROUND((SUMIF($E$16:$E$290,"*Uyên*",$H$16:$H$290) + SUMIF(E$16:$E$290,"Uyên",$H$16:$H$290))/2 + SUMIF($E$16:$E$290,"All Team",$H$16:$H$290)/5, 2)</f>
        <v>44.5</v>
      </c>
      <c r="E11" s="2">
        <f>ROUND((SUMIF($E$16:$E$290,"*Uyên*",$G$16:$G$290) + SUMIF($E$16:E$290,"Uyên",$G$16:$G$290))/2 + SUMIF($E$16:$E$290,"All Team",$G$16:$G$290)/5, 2)</f>
        <v>44.8</v>
      </c>
      <c r="AA11" s="46"/>
      <c r="AB11" s="46"/>
    </row>
    <row r="12" spans="1:28" ht="17.399999999999999" thickBot="1" x14ac:dyDescent="0.35">
      <c r="A12" s="1"/>
      <c r="B12" s="6">
        <v>5</v>
      </c>
      <c r="C12" s="2" t="s">
        <v>54</v>
      </c>
      <c r="D12" s="2">
        <f>ROUND((SUMIF($E$16:$E$290,"*Hưng*",$H$16:$H$290) + SUMIF(E$16:$E$290,"Hưng",$H$16:$H$290))/2 + SUMIF($E$16:$E$290,"All Team",$H$16:$H$290)/5, 2)</f>
        <v>38</v>
      </c>
      <c r="E12" s="2">
        <f>ROUND((SUMIF($E$16:$E$290,"*Hưng*",$G$16:$G$290) + SUMIF($E$16:E$290,"Hưng",$G$16:$G$290))/2 + SUMIF($E$16:$E$290,"All Team",$G$16:$G$290)/5, 2)</f>
        <v>37.799999999999997</v>
      </c>
      <c r="AA12" s="46"/>
      <c r="AB12" s="46"/>
    </row>
    <row r="13" spans="1:28" ht="17.399999999999999" thickBot="1" x14ac:dyDescent="0.35">
      <c r="A13" s="1"/>
      <c r="B13" s="73" t="s">
        <v>12</v>
      </c>
      <c r="C13" s="73"/>
      <c r="D13" s="4">
        <f>SUM(D8:D12)</f>
        <v>227</v>
      </c>
      <c r="E13" s="4">
        <f>SUM(E8:E12)</f>
        <v>225</v>
      </c>
      <c r="AA13" s="46"/>
      <c r="AB13" s="46"/>
    </row>
    <row r="14" spans="1:28" x14ac:dyDescent="0.3">
      <c r="AA14" s="46"/>
      <c r="AB14" s="46"/>
    </row>
    <row r="15" spans="1:28" ht="63.75" customHeight="1" x14ac:dyDescent="0.3">
      <c r="A15" s="19" t="s">
        <v>7</v>
      </c>
      <c r="B15" s="19" t="s">
        <v>8</v>
      </c>
      <c r="C15" s="97" t="s">
        <v>9</v>
      </c>
      <c r="D15" s="97"/>
      <c r="E15" s="97" t="s">
        <v>10</v>
      </c>
      <c r="F15" s="97"/>
      <c r="G15" s="17" t="s">
        <v>25</v>
      </c>
      <c r="H15" s="17" t="s">
        <v>11</v>
      </c>
      <c r="I15" s="17">
        <v>46117</v>
      </c>
      <c r="J15" s="17">
        <v>46118</v>
      </c>
      <c r="K15" s="17">
        <v>46119</v>
      </c>
      <c r="L15" s="17">
        <v>46120</v>
      </c>
      <c r="M15" s="17">
        <v>46121</v>
      </c>
      <c r="N15" s="17">
        <v>46122</v>
      </c>
      <c r="O15" s="17">
        <v>46123</v>
      </c>
      <c r="P15" s="17">
        <v>46124</v>
      </c>
      <c r="Q15" s="17">
        <v>46125</v>
      </c>
      <c r="R15" s="17">
        <v>46126</v>
      </c>
      <c r="S15" s="17">
        <v>46127</v>
      </c>
      <c r="T15" s="17">
        <v>46128</v>
      </c>
      <c r="U15" s="17">
        <v>46129</v>
      </c>
      <c r="V15" s="17">
        <v>46130</v>
      </c>
      <c r="W15" s="17">
        <v>46131</v>
      </c>
      <c r="X15" s="17">
        <v>46132</v>
      </c>
      <c r="Y15" s="17">
        <v>46133</v>
      </c>
      <c r="Z15" s="17">
        <v>46134</v>
      </c>
      <c r="AA15" s="17">
        <v>46135</v>
      </c>
    </row>
    <row r="16" spans="1:28" ht="16.8" x14ac:dyDescent="0.3">
      <c r="A16" s="80" t="s">
        <v>18</v>
      </c>
      <c r="B16" s="88" t="s">
        <v>13</v>
      </c>
      <c r="C16" s="88"/>
      <c r="D16" s="88"/>
      <c r="E16" s="85" t="s">
        <v>24</v>
      </c>
      <c r="F16" s="85"/>
      <c r="G16" s="40">
        <v>1.5</v>
      </c>
      <c r="H16" s="40">
        <v>1.5</v>
      </c>
      <c r="I16" s="40">
        <v>1.5</v>
      </c>
      <c r="J16" s="18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</row>
    <row r="17" spans="1:27" ht="16.8" x14ac:dyDescent="0.3">
      <c r="A17" s="80"/>
      <c r="B17" s="61" t="s">
        <v>23</v>
      </c>
      <c r="C17" s="70"/>
      <c r="D17" s="62"/>
      <c r="E17" s="78" t="s">
        <v>40</v>
      </c>
      <c r="F17" s="79"/>
      <c r="G17" s="40">
        <v>1.5</v>
      </c>
      <c r="H17" s="40">
        <v>1.5</v>
      </c>
      <c r="I17" s="40">
        <v>1.5</v>
      </c>
      <c r="J17" s="18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</row>
    <row r="18" spans="1:27" ht="16.8" x14ac:dyDescent="0.3">
      <c r="A18" s="80"/>
      <c r="B18" s="61" t="s">
        <v>58</v>
      </c>
      <c r="C18" s="70"/>
      <c r="D18" s="62"/>
      <c r="E18" s="78" t="s">
        <v>40</v>
      </c>
      <c r="F18" s="79"/>
      <c r="G18" s="41">
        <v>1</v>
      </c>
      <c r="H18" s="41">
        <v>1</v>
      </c>
      <c r="I18" s="41">
        <v>1</v>
      </c>
      <c r="J18" s="18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</row>
    <row r="19" spans="1:27" ht="16.8" x14ac:dyDescent="0.3">
      <c r="A19" s="80"/>
      <c r="B19" s="88" t="s">
        <v>60</v>
      </c>
      <c r="C19" s="88"/>
      <c r="D19" s="61"/>
      <c r="E19" s="85" t="s">
        <v>24</v>
      </c>
      <c r="F19" s="85"/>
      <c r="G19" s="41">
        <v>0.5</v>
      </c>
      <c r="H19" s="41">
        <v>0.5</v>
      </c>
      <c r="I19" s="41">
        <v>0.5</v>
      </c>
      <c r="J19" s="18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</row>
    <row r="20" spans="1:27" ht="17.25" customHeight="1" x14ac:dyDescent="0.3">
      <c r="A20" s="80"/>
      <c r="B20" s="58" t="s">
        <v>131</v>
      </c>
      <c r="C20" s="61" t="s">
        <v>142</v>
      </c>
      <c r="D20" s="62" t="s">
        <v>142</v>
      </c>
      <c r="E20" s="65" t="s">
        <v>45</v>
      </c>
      <c r="F20" s="66" t="s">
        <v>45</v>
      </c>
      <c r="G20" s="41">
        <v>3</v>
      </c>
      <c r="H20" s="41">
        <v>3</v>
      </c>
      <c r="I20" s="41">
        <v>3</v>
      </c>
      <c r="J20" s="41">
        <v>3</v>
      </c>
      <c r="K20" s="18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</row>
    <row r="21" spans="1:27" ht="16.8" x14ac:dyDescent="0.3">
      <c r="A21" s="80"/>
      <c r="B21" s="60"/>
      <c r="C21" s="61" t="s">
        <v>143</v>
      </c>
      <c r="D21" s="62" t="s">
        <v>143</v>
      </c>
      <c r="E21" s="65" t="s">
        <v>130</v>
      </c>
      <c r="F21" s="66" t="s">
        <v>130</v>
      </c>
      <c r="G21" s="41">
        <v>14</v>
      </c>
      <c r="H21" s="41">
        <v>14</v>
      </c>
      <c r="I21" s="41">
        <v>14</v>
      </c>
      <c r="J21" s="41">
        <v>14</v>
      </c>
      <c r="K21" s="18">
        <v>0</v>
      </c>
      <c r="L21" s="40">
        <v>0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</row>
    <row r="22" spans="1:27" ht="16.2" customHeight="1" x14ac:dyDescent="0.3">
      <c r="A22" s="80"/>
      <c r="B22" s="60"/>
      <c r="C22" s="61" t="s">
        <v>144</v>
      </c>
      <c r="D22" s="62" t="s">
        <v>144</v>
      </c>
      <c r="E22" s="65" t="s">
        <v>35</v>
      </c>
      <c r="F22" s="66" t="s">
        <v>35</v>
      </c>
      <c r="G22" s="41">
        <v>2</v>
      </c>
      <c r="H22" s="41">
        <v>2</v>
      </c>
      <c r="I22" s="41">
        <v>2</v>
      </c>
      <c r="J22" s="41">
        <v>2</v>
      </c>
      <c r="K22" s="18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</row>
    <row r="23" spans="1:27" ht="16.8" x14ac:dyDescent="0.3">
      <c r="A23" s="80"/>
      <c r="B23" s="60"/>
      <c r="C23" s="61" t="s">
        <v>145</v>
      </c>
      <c r="D23" s="62" t="s">
        <v>145</v>
      </c>
      <c r="E23" s="65" t="s">
        <v>39</v>
      </c>
      <c r="F23" s="66" t="s">
        <v>39</v>
      </c>
      <c r="G23" s="41">
        <v>2</v>
      </c>
      <c r="H23" s="41">
        <v>2</v>
      </c>
      <c r="I23" s="41">
        <v>2</v>
      </c>
      <c r="J23" s="41">
        <v>2</v>
      </c>
      <c r="K23" s="41">
        <v>2</v>
      </c>
      <c r="L23" s="18">
        <v>0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</row>
    <row r="24" spans="1:27" ht="16.8" x14ac:dyDescent="0.3">
      <c r="A24" s="80"/>
      <c r="B24" s="60"/>
      <c r="C24" s="61" t="s">
        <v>68</v>
      </c>
      <c r="D24" s="62" t="s">
        <v>68</v>
      </c>
      <c r="E24" s="65" t="s">
        <v>130</v>
      </c>
      <c r="F24" s="66" t="s">
        <v>130</v>
      </c>
      <c r="G24" s="41">
        <v>2</v>
      </c>
      <c r="H24" s="41">
        <v>2</v>
      </c>
      <c r="I24" s="41">
        <v>2</v>
      </c>
      <c r="J24" s="41">
        <v>2</v>
      </c>
      <c r="K24" s="41">
        <v>2</v>
      </c>
      <c r="L24" s="18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</row>
    <row r="25" spans="1:27" ht="16.8" x14ac:dyDescent="0.3">
      <c r="A25" s="80"/>
      <c r="B25" s="59"/>
      <c r="C25" s="61" t="s">
        <v>69</v>
      </c>
      <c r="D25" s="62" t="s">
        <v>69</v>
      </c>
      <c r="E25" s="65" t="s">
        <v>37</v>
      </c>
      <c r="F25" s="66" t="s">
        <v>37</v>
      </c>
      <c r="G25" s="41">
        <v>1</v>
      </c>
      <c r="H25" s="41">
        <v>1</v>
      </c>
      <c r="I25" s="41">
        <v>1</v>
      </c>
      <c r="J25" s="41">
        <v>1</v>
      </c>
      <c r="K25" s="41">
        <v>1</v>
      </c>
      <c r="L25" s="18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</row>
    <row r="26" spans="1:27" ht="17.25" customHeight="1" x14ac:dyDescent="0.3">
      <c r="A26" s="80"/>
      <c r="B26" s="58" t="s">
        <v>132</v>
      </c>
      <c r="C26" s="61" t="s">
        <v>146</v>
      </c>
      <c r="D26" s="62" t="s">
        <v>146</v>
      </c>
      <c r="E26" s="65" t="s">
        <v>44</v>
      </c>
      <c r="F26" s="66" t="s">
        <v>44</v>
      </c>
      <c r="G26" s="41">
        <v>2.5</v>
      </c>
      <c r="H26" s="41">
        <v>3</v>
      </c>
      <c r="I26" s="41">
        <v>2.5</v>
      </c>
      <c r="J26" s="41">
        <v>2.5</v>
      </c>
      <c r="K26" s="41"/>
      <c r="L26" s="41">
        <v>2.5</v>
      </c>
      <c r="M26" s="18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</row>
    <row r="27" spans="1:27" ht="17.25" customHeight="1" x14ac:dyDescent="0.3">
      <c r="A27" s="80"/>
      <c r="B27" s="60"/>
      <c r="C27" s="47"/>
      <c r="D27" s="48"/>
      <c r="E27" s="51"/>
      <c r="F27" s="52"/>
      <c r="G27" s="41"/>
      <c r="H27" s="41"/>
      <c r="I27" s="41"/>
      <c r="J27" s="41"/>
      <c r="K27" s="41"/>
      <c r="L27" s="41"/>
      <c r="M27" s="42">
        <v>0.5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spans="1:27" ht="16.8" x14ac:dyDescent="0.3">
      <c r="A28" s="80"/>
      <c r="B28" s="60"/>
      <c r="C28" s="61" t="s">
        <v>147</v>
      </c>
      <c r="D28" s="62" t="s">
        <v>147</v>
      </c>
      <c r="E28" s="65" t="s">
        <v>47</v>
      </c>
      <c r="F28" s="66" t="s">
        <v>47</v>
      </c>
      <c r="G28" s="41">
        <v>9</v>
      </c>
      <c r="H28" s="41">
        <v>9</v>
      </c>
      <c r="I28" s="41">
        <v>9</v>
      </c>
      <c r="J28" s="41">
        <v>9</v>
      </c>
      <c r="K28" s="41">
        <v>9</v>
      </c>
      <c r="L28" s="41">
        <v>9</v>
      </c>
      <c r="M28" s="18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</row>
    <row r="29" spans="1:27" ht="16.8" x14ac:dyDescent="0.3">
      <c r="A29" s="80"/>
      <c r="B29" s="60"/>
      <c r="C29" s="61" t="s">
        <v>148</v>
      </c>
      <c r="D29" s="62" t="s">
        <v>148</v>
      </c>
      <c r="E29" s="65" t="s">
        <v>36</v>
      </c>
      <c r="F29" s="66" t="s">
        <v>36</v>
      </c>
      <c r="G29" s="41">
        <v>1</v>
      </c>
      <c r="H29" s="41">
        <v>1</v>
      </c>
      <c r="I29" s="41"/>
      <c r="J29" s="41"/>
      <c r="K29" s="41">
        <v>1</v>
      </c>
      <c r="L29" s="41">
        <v>1</v>
      </c>
      <c r="M29" s="18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</row>
    <row r="30" spans="1:27" ht="16.8" x14ac:dyDescent="0.3">
      <c r="A30" s="80"/>
      <c r="B30" s="60"/>
      <c r="C30" s="61" t="s">
        <v>149</v>
      </c>
      <c r="D30" s="62" t="s">
        <v>149</v>
      </c>
      <c r="E30" s="65" t="s">
        <v>37</v>
      </c>
      <c r="F30" s="66" t="s">
        <v>37</v>
      </c>
      <c r="G30" s="41">
        <v>1</v>
      </c>
      <c r="H30" s="41">
        <v>2</v>
      </c>
      <c r="I30" s="41">
        <v>1</v>
      </c>
      <c r="J30" s="41"/>
      <c r="K30" s="41">
        <v>1</v>
      </c>
      <c r="L30" s="41">
        <v>1</v>
      </c>
      <c r="M30" s="18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</row>
    <row r="31" spans="1:27" ht="16.8" x14ac:dyDescent="0.3">
      <c r="A31" s="80"/>
      <c r="B31" s="60"/>
      <c r="C31" s="47"/>
      <c r="D31" s="48"/>
      <c r="E31" s="51"/>
      <c r="F31" s="52"/>
      <c r="G31" s="41"/>
      <c r="H31" s="41"/>
      <c r="I31" s="41"/>
      <c r="J31" s="41"/>
      <c r="K31" s="41"/>
      <c r="L31" s="41"/>
      <c r="M31" s="42">
        <v>1</v>
      </c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27" ht="16.8" x14ac:dyDescent="0.3">
      <c r="A32" s="80"/>
      <c r="B32" s="60"/>
      <c r="C32" s="61" t="s">
        <v>68</v>
      </c>
      <c r="D32" s="62" t="s">
        <v>68</v>
      </c>
      <c r="E32" s="65" t="s">
        <v>47</v>
      </c>
      <c r="F32" s="66" t="s">
        <v>47</v>
      </c>
      <c r="G32" s="41">
        <v>1.5</v>
      </c>
      <c r="H32" s="41">
        <v>1.5</v>
      </c>
      <c r="I32" s="41">
        <v>1.5</v>
      </c>
      <c r="J32" s="41">
        <v>1.5</v>
      </c>
      <c r="K32" s="41">
        <v>1.5</v>
      </c>
      <c r="L32" s="41">
        <v>1.5</v>
      </c>
      <c r="M32" s="18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</row>
    <row r="33" spans="1:27" ht="16.8" x14ac:dyDescent="0.3">
      <c r="A33" s="80"/>
      <c r="B33" s="59"/>
      <c r="C33" s="61" t="s">
        <v>69</v>
      </c>
      <c r="D33" s="62" t="s">
        <v>69</v>
      </c>
      <c r="E33" s="65" t="s">
        <v>38</v>
      </c>
      <c r="F33" s="66" t="s">
        <v>38</v>
      </c>
      <c r="G33" s="41">
        <v>1</v>
      </c>
      <c r="H33" s="41">
        <v>1</v>
      </c>
      <c r="I33" s="41">
        <v>1</v>
      </c>
      <c r="J33" s="41">
        <v>1</v>
      </c>
      <c r="K33" s="41">
        <v>1</v>
      </c>
      <c r="L33" s="41">
        <v>1</v>
      </c>
      <c r="M33" s="18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</row>
    <row r="34" spans="1:27" ht="17.25" customHeight="1" x14ac:dyDescent="0.3">
      <c r="A34" s="80"/>
      <c r="B34" s="58" t="s">
        <v>133</v>
      </c>
      <c r="C34" s="61" t="s">
        <v>150</v>
      </c>
      <c r="D34" s="62" t="s">
        <v>150</v>
      </c>
      <c r="E34" s="65" t="s">
        <v>45</v>
      </c>
      <c r="F34" s="66" t="s">
        <v>45</v>
      </c>
      <c r="G34" s="41">
        <v>2.5</v>
      </c>
      <c r="H34" s="41">
        <v>2.5</v>
      </c>
      <c r="I34" s="41">
        <v>2.5</v>
      </c>
      <c r="J34" s="41">
        <v>2.5</v>
      </c>
      <c r="K34" s="41">
        <v>2.5</v>
      </c>
      <c r="L34" s="41">
        <v>2.5</v>
      </c>
      <c r="M34" s="41">
        <v>2.5</v>
      </c>
      <c r="N34" s="18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</row>
    <row r="35" spans="1:27" ht="16.8" x14ac:dyDescent="0.3">
      <c r="A35" s="80"/>
      <c r="B35" s="60"/>
      <c r="C35" s="61" t="s">
        <v>151</v>
      </c>
      <c r="D35" s="62" t="s">
        <v>151</v>
      </c>
      <c r="E35" s="65" t="s">
        <v>61</v>
      </c>
      <c r="F35" s="66" t="s">
        <v>61</v>
      </c>
      <c r="G35" s="41">
        <v>9</v>
      </c>
      <c r="H35" s="41">
        <v>9</v>
      </c>
      <c r="I35" s="41">
        <v>9</v>
      </c>
      <c r="J35" s="41">
        <v>9</v>
      </c>
      <c r="K35" s="41">
        <v>9</v>
      </c>
      <c r="L35" s="41">
        <v>9</v>
      </c>
      <c r="M35" s="41">
        <v>9</v>
      </c>
      <c r="N35" s="18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</row>
    <row r="36" spans="1:27" ht="16.8" x14ac:dyDescent="0.3">
      <c r="A36" s="80"/>
      <c r="B36" s="60"/>
      <c r="C36" s="61" t="s">
        <v>152</v>
      </c>
      <c r="D36" s="62" t="s">
        <v>152</v>
      </c>
      <c r="E36" s="65" t="s">
        <v>35</v>
      </c>
      <c r="F36" s="66" t="s">
        <v>35</v>
      </c>
      <c r="G36" s="41">
        <v>1</v>
      </c>
      <c r="H36" s="41">
        <v>1</v>
      </c>
      <c r="I36" s="41">
        <v>1</v>
      </c>
      <c r="J36" s="41">
        <v>1</v>
      </c>
      <c r="K36" s="41">
        <v>1</v>
      </c>
      <c r="L36" s="41">
        <v>1</v>
      </c>
      <c r="M36" s="41">
        <v>1</v>
      </c>
      <c r="N36" s="18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</row>
    <row r="37" spans="1:27" ht="16.8" x14ac:dyDescent="0.3">
      <c r="A37" s="80"/>
      <c r="B37" s="60"/>
      <c r="C37" s="61" t="s">
        <v>153</v>
      </c>
      <c r="D37" s="62" t="s">
        <v>153</v>
      </c>
      <c r="E37" s="65" t="s">
        <v>39</v>
      </c>
      <c r="F37" s="66" t="s">
        <v>39</v>
      </c>
      <c r="G37" s="41">
        <v>1</v>
      </c>
      <c r="H37" s="41">
        <v>1</v>
      </c>
      <c r="I37" s="41">
        <v>1</v>
      </c>
      <c r="J37" s="41">
        <v>1</v>
      </c>
      <c r="K37" s="41">
        <v>1</v>
      </c>
      <c r="L37" s="41">
        <v>1</v>
      </c>
      <c r="M37" s="41">
        <v>1</v>
      </c>
      <c r="N37" s="18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</row>
    <row r="38" spans="1:27" ht="16.8" x14ac:dyDescent="0.3">
      <c r="A38" s="80"/>
      <c r="B38" s="60"/>
      <c r="C38" s="61" t="s">
        <v>68</v>
      </c>
      <c r="D38" s="62" t="s">
        <v>68</v>
      </c>
      <c r="E38" s="65" t="s">
        <v>61</v>
      </c>
      <c r="F38" s="66" t="s">
        <v>61</v>
      </c>
      <c r="G38" s="41">
        <v>1.5</v>
      </c>
      <c r="H38" s="41">
        <v>2.5</v>
      </c>
      <c r="I38" s="41">
        <v>1.5</v>
      </c>
      <c r="J38" s="41">
        <v>1.5</v>
      </c>
      <c r="K38" s="41">
        <v>1.5</v>
      </c>
      <c r="L38" s="41">
        <v>1.5</v>
      </c>
      <c r="M38" s="41">
        <v>1.5</v>
      </c>
      <c r="N38" s="18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</row>
    <row r="39" spans="1:27" ht="16.8" x14ac:dyDescent="0.3">
      <c r="A39" s="80"/>
      <c r="B39" s="60"/>
      <c r="C39" s="47"/>
      <c r="D39" s="48"/>
      <c r="E39" s="51"/>
      <c r="F39" s="52"/>
      <c r="G39" s="41"/>
      <c r="H39" s="41"/>
      <c r="I39" s="41"/>
      <c r="J39" s="41"/>
      <c r="K39" s="41"/>
      <c r="L39" s="41"/>
      <c r="M39" s="41"/>
      <c r="N39" s="42">
        <v>1</v>
      </c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spans="1:27" ht="16.8" x14ac:dyDescent="0.3">
      <c r="A40" s="80"/>
      <c r="B40" s="59"/>
      <c r="C40" s="61" t="s">
        <v>69</v>
      </c>
      <c r="D40" s="62" t="s">
        <v>69</v>
      </c>
      <c r="E40" s="65" t="s">
        <v>38</v>
      </c>
      <c r="F40" s="66" t="s">
        <v>38</v>
      </c>
      <c r="G40" s="41">
        <v>1</v>
      </c>
      <c r="H40" s="41">
        <v>1</v>
      </c>
      <c r="I40" s="41">
        <v>1</v>
      </c>
      <c r="J40" s="41">
        <v>1</v>
      </c>
      <c r="K40" s="41">
        <v>1</v>
      </c>
      <c r="L40" s="41">
        <v>1</v>
      </c>
      <c r="M40" s="41">
        <v>1</v>
      </c>
      <c r="N40" s="18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</row>
    <row r="41" spans="1:27" ht="17.25" customHeight="1" x14ac:dyDescent="0.3">
      <c r="A41" s="80"/>
      <c r="B41" s="58" t="s">
        <v>134</v>
      </c>
      <c r="C41" s="61" t="s">
        <v>154</v>
      </c>
      <c r="D41" s="62" t="s">
        <v>154</v>
      </c>
      <c r="E41" s="65" t="s">
        <v>44</v>
      </c>
      <c r="F41" s="66" t="s">
        <v>44</v>
      </c>
      <c r="G41" s="41">
        <v>3</v>
      </c>
      <c r="H41" s="41">
        <v>4</v>
      </c>
      <c r="I41" s="41">
        <v>3</v>
      </c>
      <c r="J41" s="41">
        <v>3</v>
      </c>
      <c r="K41" s="41">
        <v>3</v>
      </c>
      <c r="L41" s="41">
        <v>3</v>
      </c>
      <c r="M41" s="41">
        <v>3</v>
      </c>
      <c r="N41" s="41">
        <v>3</v>
      </c>
      <c r="O41" s="18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</row>
    <row r="42" spans="1:27" ht="17.25" customHeight="1" x14ac:dyDescent="0.3">
      <c r="A42" s="80"/>
      <c r="B42" s="60"/>
      <c r="C42" s="47"/>
      <c r="D42" s="48"/>
      <c r="E42" s="51"/>
      <c r="F42" s="52"/>
      <c r="G42" s="41"/>
      <c r="H42" s="41"/>
      <c r="I42" s="41"/>
      <c r="J42" s="41"/>
      <c r="K42" s="41"/>
      <c r="L42" s="41"/>
      <c r="M42" s="41"/>
      <c r="N42" s="41"/>
      <c r="O42" s="42">
        <v>1</v>
      </c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spans="1:27" ht="16.8" x14ac:dyDescent="0.3">
      <c r="A43" s="80"/>
      <c r="B43" s="60"/>
      <c r="C43" s="61" t="s">
        <v>155</v>
      </c>
      <c r="D43" s="62" t="s">
        <v>155</v>
      </c>
      <c r="E43" s="65" t="s">
        <v>43</v>
      </c>
      <c r="F43" s="66" t="s">
        <v>43</v>
      </c>
      <c r="G43" s="41">
        <v>14</v>
      </c>
      <c r="H43" s="41">
        <v>14</v>
      </c>
      <c r="I43" s="41">
        <v>14</v>
      </c>
      <c r="J43" s="41">
        <v>14</v>
      </c>
      <c r="K43" s="41">
        <v>14</v>
      </c>
      <c r="L43" s="41">
        <v>14</v>
      </c>
      <c r="M43" s="41">
        <v>14</v>
      </c>
      <c r="N43" s="41">
        <v>14</v>
      </c>
      <c r="O43" s="18">
        <v>0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</row>
    <row r="44" spans="1:27" ht="16.8" x14ac:dyDescent="0.3">
      <c r="A44" s="80"/>
      <c r="B44" s="60"/>
      <c r="C44" s="61" t="s">
        <v>156</v>
      </c>
      <c r="D44" s="62" t="s">
        <v>156</v>
      </c>
      <c r="E44" s="65" t="s">
        <v>39</v>
      </c>
      <c r="F44" s="66" t="s">
        <v>39</v>
      </c>
      <c r="G44" s="41">
        <v>2</v>
      </c>
      <c r="H44" s="41">
        <v>2</v>
      </c>
      <c r="I44" s="41">
        <v>2</v>
      </c>
      <c r="J44" s="41">
        <v>2</v>
      </c>
      <c r="K44" s="41">
        <v>2</v>
      </c>
      <c r="L44" s="41">
        <v>2</v>
      </c>
      <c r="M44" s="41">
        <v>2</v>
      </c>
      <c r="N44" s="41">
        <v>2</v>
      </c>
      <c r="O44" s="18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</row>
    <row r="45" spans="1:27" ht="16.8" x14ac:dyDescent="0.3">
      <c r="A45" s="80"/>
      <c r="B45" s="60"/>
      <c r="C45" s="61" t="s">
        <v>157</v>
      </c>
      <c r="D45" s="62" t="s">
        <v>157</v>
      </c>
      <c r="E45" s="65" t="s">
        <v>37</v>
      </c>
      <c r="F45" s="66" t="s">
        <v>37</v>
      </c>
      <c r="G45" s="41">
        <v>2</v>
      </c>
      <c r="H45" s="41">
        <v>2</v>
      </c>
      <c r="I45" s="41">
        <v>2</v>
      </c>
      <c r="J45" s="41">
        <v>2</v>
      </c>
      <c r="K45" s="41">
        <v>2</v>
      </c>
      <c r="L45" s="41">
        <v>2</v>
      </c>
      <c r="M45" s="41">
        <v>2</v>
      </c>
      <c r="N45" s="41">
        <v>2</v>
      </c>
      <c r="O45" s="41">
        <v>2</v>
      </c>
      <c r="P45" s="18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</row>
    <row r="46" spans="1:27" ht="16.8" x14ac:dyDescent="0.3">
      <c r="A46" s="80"/>
      <c r="B46" s="60"/>
      <c r="C46" s="61" t="s">
        <v>68</v>
      </c>
      <c r="D46" s="62" t="s">
        <v>68</v>
      </c>
      <c r="E46" s="65" t="s">
        <v>43</v>
      </c>
      <c r="F46" s="66" t="s">
        <v>43</v>
      </c>
      <c r="G46" s="41">
        <v>2</v>
      </c>
      <c r="H46" s="41">
        <v>2</v>
      </c>
      <c r="I46" s="41">
        <v>2</v>
      </c>
      <c r="J46" s="41">
        <v>2</v>
      </c>
      <c r="K46" s="41">
        <v>2</v>
      </c>
      <c r="L46" s="41">
        <v>2</v>
      </c>
      <c r="M46" s="41">
        <v>2</v>
      </c>
      <c r="N46" s="41">
        <v>2</v>
      </c>
      <c r="O46" s="41">
        <v>2</v>
      </c>
      <c r="P46" s="18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</row>
    <row r="47" spans="1:27" ht="16.8" x14ac:dyDescent="0.3">
      <c r="A47" s="80"/>
      <c r="B47" s="59"/>
      <c r="C47" s="61" t="s">
        <v>69</v>
      </c>
      <c r="D47" s="62" t="s">
        <v>69</v>
      </c>
      <c r="E47" s="65" t="s">
        <v>38</v>
      </c>
      <c r="F47" s="66" t="s">
        <v>38</v>
      </c>
      <c r="G47" s="41">
        <v>1</v>
      </c>
      <c r="H47" s="41">
        <v>1</v>
      </c>
      <c r="I47" s="41">
        <v>1</v>
      </c>
      <c r="J47" s="41">
        <v>1</v>
      </c>
      <c r="K47" s="41">
        <v>1</v>
      </c>
      <c r="L47" s="41">
        <v>1</v>
      </c>
      <c r="M47" s="41">
        <v>1</v>
      </c>
      <c r="N47" s="41">
        <v>1</v>
      </c>
      <c r="O47" s="41">
        <v>1</v>
      </c>
      <c r="P47" s="18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</row>
    <row r="48" spans="1:27" ht="17.25" customHeight="1" x14ac:dyDescent="0.3">
      <c r="A48" s="80"/>
      <c r="B48" s="58" t="s">
        <v>135</v>
      </c>
      <c r="C48" s="61" t="s">
        <v>158</v>
      </c>
      <c r="D48" s="62" t="s">
        <v>158</v>
      </c>
      <c r="E48" s="65" t="s">
        <v>45</v>
      </c>
      <c r="F48" s="66" t="s">
        <v>45</v>
      </c>
      <c r="G48" s="41">
        <v>3</v>
      </c>
      <c r="H48" s="41">
        <v>3</v>
      </c>
      <c r="I48" s="41">
        <v>3</v>
      </c>
      <c r="J48" s="41">
        <v>3</v>
      </c>
      <c r="K48" s="41">
        <v>3</v>
      </c>
      <c r="L48" s="41">
        <v>3</v>
      </c>
      <c r="M48" s="41">
        <v>3</v>
      </c>
      <c r="N48" s="41">
        <v>3</v>
      </c>
      <c r="O48" s="41">
        <v>3</v>
      </c>
      <c r="P48" s="41">
        <v>3</v>
      </c>
      <c r="Q48" s="18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</row>
    <row r="49" spans="1:27" ht="16.8" customHeight="1" x14ac:dyDescent="0.3">
      <c r="A49" s="80"/>
      <c r="B49" s="60"/>
      <c r="C49" s="61" t="s">
        <v>159</v>
      </c>
      <c r="D49" s="62" t="s">
        <v>159</v>
      </c>
      <c r="E49" s="65" t="s">
        <v>46</v>
      </c>
      <c r="F49" s="66" t="s">
        <v>46</v>
      </c>
      <c r="G49" s="41">
        <v>14</v>
      </c>
      <c r="H49" s="41">
        <v>14</v>
      </c>
      <c r="I49" s="41">
        <v>14</v>
      </c>
      <c r="J49" s="41">
        <v>14</v>
      </c>
      <c r="K49" s="41">
        <v>14</v>
      </c>
      <c r="L49" s="41">
        <v>14</v>
      </c>
      <c r="M49" s="41">
        <v>14</v>
      </c>
      <c r="N49" s="41">
        <v>14</v>
      </c>
      <c r="O49" s="41">
        <v>14</v>
      </c>
      <c r="P49" s="41">
        <v>14</v>
      </c>
      <c r="Q49" s="18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</row>
    <row r="50" spans="1:27" ht="16.8" x14ac:dyDescent="0.3">
      <c r="A50" s="80"/>
      <c r="B50" s="60"/>
      <c r="C50" s="61" t="s">
        <v>160</v>
      </c>
      <c r="D50" s="62" t="s">
        <v>160</v>
      </c>
      <c r="E50" s="65" t="s">
        <v>36</v>
      </c>
      <c r="F50" s="66" t="s">
        <v>36</v>
      </c>
      <c r="G50" s="41">
        <v>2</v>
      </c>
      <c r="H50" s="41">
        <v>2</v>
      </c>
      <c r="I50" s="41">
        <v>2</v>
      </c>
      <c r="J50" s="41">
        <v>2</v>
      </c>
      <c r="K50" s="41">
        <v>2</v>
      </c>
      <c r="L50" s="41">
        <v>2</v>
      </c>
      <c r="M50" s="41">
        <v>2</v>
      </c>
      <c r="N50" s="41">
        <v>2</v>
      </c>
      <c r="O50" s="41">
        <v>2</v>
      </c>
      <c r="P50" s="41">
        <v>2</v>
      </c>
      <c r="Q50" s="18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</row>
    <row r="51" spans="1:27" ht="16.8" x14ac:dyDescent="0.3">
      <c r="A51" s="80"/>
      <c r="B51" s="60"/>
      <c r="C51" s="61" t="s">
        <v>161</v>
      </c>
      <c r="D51" s="62" t="s">
        <v>161</v>
      </c>
      <c r="E51" s="65" t="s">
        <v>39</v>
      </c>
      <c r="F51" s="66" t="s">
        <v>39</v>
      </c>
      <c r="G51" s="41">
        <v>2</v>
      </c>
      <c r="H51" s="41">
        <v>2</v>
      </c>
      <c r="I51" s="41">
        <v>2</v>
      </c>
      <c r="J51" s="41">
        <v>2</v>
      </c>
      <c r="K51" s="41">
        <v>2</v>
      </c>
      <c r="L51" s="41">
        <v>2</v>
      </c>
      <c r="M51" s="41">
        <v>2</v>
      </c>
      <c r="N51" s="41">
        <v>2</v>
      </c>
      <c r="O51" s="41">
        <v>2</v>
      </c>
      <c r="P51" s="41">
        <v>2</v>
      </c>
      <c r="Q51" s="41">
        <v>2</v>
      </c>
      <c r="R51" s="18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</row>
    <row r="52" spans="1:27" ht="16.8" x14ac:dyDescent="0.3">
      <c r="A52" s="80"/>
      <c r="B52" s="60"/>
      <c r="C52" s="61" t="s">
        <v>68</v>
      </c>
      <c r="D52" s="62" t="s">
        <v>68</v>
      </c>
      <c r="E52" s="65" t="s">
        <v>46</v>
      </c>
      <c r="F52" s="66" t="s">
        <v>46</v>
      </c>
      <c r="G52" s="41">
        <v>2</v>
      </c>
      <c r="H52" s="41">
        <v>2</v>
      </c>
      <c r="I52" s="41">
        <v>2</v>
      </c>
      <c r="J52" s="41">
        <v>2</v>
      </c>
      <c r="K52" s="41">
        <v>2</v>
      </c>
      <c r="L52" s="41">
        <v>2</v>
      </c>
      <c r="M52" s="41">
        <v>2</v>
      </c>
      <c r="N52" s="41">
        <v>2</v>
      </c>
      <c r="O52" s="41">
        <v>2</v>
      </c>
      <c r="P52" s="41">
        <v>2</v>
      </c>
      <c r="Q52" s="41">
        <v>2</v>
      </c>
      <c r="R52" s="18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</row>
    <row r="53" spans="1:27" ht="16.8" x14ac:dyDescent="0.3">
      <c r="A53" s="80"/>
      <c r="B53" s="59"/>
      <c r="C53" s="61" t="s">
        <v>69</v>
      </c>
      <c r="D53" s="62" t="s">
        <v>69</v>
      </c>
      <c r="E53" s="65" t="s">
        <v>37</v>
      </c>
      <c r="F53" s="66" t="s">
        <v>37</v>
      </c>
      <c r="G53" s="41">
        <v>1</v>
      </c>
      <c r="H53" s="41">
        <v>1</v>
      </c>
      <c r="I53" s="41">
        <v>1</v>
      </c>
      <c r="J53" s="41">
        <v>1</v>
      </c>
      <c r="K53" s="41">
        <v>1</v>
      </c>
      <c r="L53" s="41">
        <v>1</v>
      </c>
      <c r="M53" s="41">
        <v>1</v>
      </c>
      <c r="N53" s="41">
        <v>1</v>
      </c>
      <c r="O53" s="41">
        <v>1</v>
      </c>
      <c r="P53" s="41">
        <v>1</v>
      </c>
      <c r="Q53" s="41">
        <v>1</v>
      </c>
      <c r="R53" s="18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</row>
    <row r="54" spans="1:27" ht="17.25" customHeight="1" x14ac:dyDescent="0.3">
      <c r="A54" s="80"/>
      <c r="B54" s="58" t="s">
        <v>136</v>
      </c>
      <c r="C54" s="61" t="s">
        <v>162</v>
      </c>
      <c r="D54" s="62" t="s">
        <v>162</v>
      </c>
      <c r="E54" s="65" t="s">
        <v>44</v>
      </c>
      <c r="F54" s="66" t="s">
        <v>44</v>
      </c>
      <c r="G54" s="41">
        <v>2.5</v>
      </c>
      <c r="H54" s="41">
        <v>2.5</v>
      </c>
      <c r="I54" s="41">
        <v>2.5</v>
      </c>
      <c r="J54" s="41">
        <v>2.5</v>
      </c>
      <c r="K54" s="41">
        <v>2.5</v>
      </c>
      <c r="L54" s="41">
        <v>2.5</v>
      </c>
      <c r="M54" s="41">
        <v>2.5</v>
      </c>
      <c r="N54" s="41">
        <v>2.5</v>
      </c>
      <c r="O54" s="41">
        <v>2.5</v>
      </c>
      <c r="P54" s="41">
        <v>2.5</v>
      </c>
      <c r="Q54" s="41">
        <v>2.5</v>
      </c>
      <c r="R54" s="41">
        <v>2.5</v>
      </c>
      <c r="S54" s="18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</row>
    <row r="55" spans="1:27" ht="16.8" customHeight="1" x14ac:dyDescent="0.3">
      <c r="A55" s="80"/>
      <c r="B55" s="60"/>
      <c r="C55" s="61" t="s">
        <v>163</v>
      </c>
      <c r="D55" s="62" t="s">
        <v>163</v>
      </c>
      <c r="E55" s="65" t="s">
        <v>48</v>
      </c>
      <c r="F55" s="66" t="s">
        <v>48</v>
      </c>
      <c r="G55" s="41">
        <v>9</v>
      </c>
      <c r="H55" s="41">
        <v>9</v>
      </c>
      <c r="I55" s="41">
        <v>9</v>
      </c>
      <c r="J55" s="41">
        <v>9</v>
      </c>
      <c r="K55" s="41">
        <v>9</v>
      </c>
      <c r="L55" s="41">
        <v>9</v>
      </c>
      <c r="M55" s="41">
        <v>9</v>
      </c>
      <c r="N55" s="41">
        <v>9</v>
      </c>
      <c r="O55" s="41">
        <v>9</v>
      </c>
      <c r="P55" s="41">
        <v>9</v>
      </c>
      <c r="Q55" s="41">
        <v>9</v>
      </c>
      <c r="R55" s="41">
        <v>9</v>
      </c>
      <c r="S55" s="18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</row>
    <row r="56" spans="1:27" ht="16.8" x14ac:dyDescent="0.3">
      <c r="A56" s="80"/>
      <c r="B56" s="60"/>
      <c r="C56" s="61" t="s">
        <v>164</v>
      </c>
      <c r="D56" s="62" t="s">
        <v>164</v>
      </c>
      <c r="E56" s="65" t="s">
        <v>35</v>
      </c>
      <c r="F56" s="66" t="s">
        <v>35</v>
      </c>
      <c r="G56" s="41">
        <v>1</v>
      </c>
      <c r="H56" s="41">
        <v>1</v>
      </c>
      <c r="I56" s="41">
        <v>1</v>
      </c>
      <c r="J56" s="41">
        <v>1</v>
      </c>
      <c r="K56" s="41">
        <v>1</v>
      </c>
      <c r="L56" s="41">
        <v>1</v>
      </c>
      <c r="M56" s="41">
        <v>1</v>
      </c>
      <c r="N56" s="41">
        <v>1</v>
      </c>
      <c r="O56" s="41">
        <v>1</v>
      </c>
      <c r="P56" s="41">
        <v>1</v>
      </c>
      <c r="Q56" s="41">
        <v>1</v>
      </c>
      <c r="R56" s="41">
        <v>1</v>
      </c>
      <c r="S56" s="18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</row>
    <row r="57" spans="1:27" ht="16.8" x14ac:dyDescent="0.3">
      <c r="A57" s="80"/>
      <c r="B57" s="60"/>
      <c r="C57" s="61" t="s">
        <v>165</v>
      </c>
      <c r="D57" s="62" t="s">
        <v>165</v>
      </c>
      <c r="E57" s="65" t="s">
        <v>37</v>
      </c>
      <c r="F57" s="66" t="s">
        <v>37</v>
      </c>
      <c r="G57" s="41">
        <v>1</v>
      </c>
      <c r="H57" s="41">
        <v>1</v>
      </c>
      <c r="I57" s="41">
        <v>1</v>
      </c>
      <c r="J57" s="41">
        <v>1</v>
      </c>
      <c r="K57" s="41">
        <v>1</v>
      </c>
      <c r="L57" s="41">
        <v>1</v>
      </c>
      <c r="M57" s="41">
        <v>1</v>
      </c>
      <c r="N57" s="41">
        <v>1</v>
      </c>
      <c r="O57" s="41">
        <v>1</v>
      </c>
      <c r="P57" s="41">
        <v>1</v>
      </c>
      <c r="Q57" s="41">
        <v>1</v>
      </c>
      <c r="R57" s="41">
        <v>1</v>
      </c>
      <c r="S57" s="18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</row>
    <row r="58" spans="1:27" ht="16.8" x14ac:dyDescent="0.3">
      <c r="A58" s="80"/>
      <c r="B58" s="60"/>
      <c r="C58" s="61" t="s">
        <v>68</v>
      </c>
      <c r="D58" s="62" t="s">
        <v>68</v>
      </c>
      <c r="E58" s="65" t="s">
        <v>48</v>
      </c>
      <c r="F58" s="66" t="s">
        <v>48</v>
      </c>
      <c r="G58" s="41">
        <v>1.5</v>
      </c>
      <c r="H58" s="41">
        <v>1.5</v>
      </c>
      <c r="I58" s="41">
        <v>1.5</v>
      </c>
      <c r="J58" s="41">
        <v>1.5</v>
      </c>
      <c r="K58" s="41">
        <v>1.5</v>
      </c>
      <c r="L58" s="41">
        <v>1.5</v>
      </c>
      <c r="M58" s="41">
        <v>1.5</v>
      </c>
      <c r="N58" s="41">
        <v>1.5</v>
      </c>
      <c r="O58" s="41">
        <v>1.5</v>
      </c>
      <c r="P58" s="41">
        <v>1.5</v>
      </c>
      <c r="Q58" s="41">
        <v>1.5</v>
      </c>
      <c r="R58" s="41">
        <v>1.5</v>
      </c>
      <c r="S58" s="18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</row>
    <row r="59" spans="1:27" ht="16.8" x14ac:dyDescent="0.3">
      <c r="A59" s="80"/>
      <c r="B59" s="59"/>
      <c r="C59" s="61" t="s">
        <v>69</v>
      </c>
      <c r="D59" s="62" t="s">
        <v>69</v>
      </c>
      <c r="E59" s="65" t="s">
        <v>38</v>
      </c>
      <c r="F59" s="66" t="s">
        <v>38</v>
      </c>
      <c r="G59" s="41">
        <v>1</v>
      </c>
      <c r="H59" s="41">
        <v>1</v>
      </c>
      <c r="I59" s="41">
        <v>1</v>
      </c>
      <c r="J59" s="41">
        <v>1</v>
      </c>
      <c r="K59" s="41">
        <v>1</v>
      </c>
      <c r="L59" s="41">
        <v>1</v>
      </c>
      <c r="M59" s="41">
        <v>1</v>
      </c>
      <c r="N59" s="41">
        <v>1</v>
      </c>
      <c r="O59" s="41">
        <v>1</v>
      </c>
      <c r="P59" s="41">
        <v>1</v>
      </c>
      <c r="Q59" s="41">
        <v>1</v>
      </c>
      <c r="R59" s="41">
        <v>1</v>
      </c>
      <c r="S59" s="18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</row>
    <row r="60" spans="1:27" ht="17.25" customHeight="1" x14ac:dyDescent="0.3">
      <c r="A60" s="80"/>
      <c r="B60" s="58" t="s">
        <v>137</v>
      </c>
      <c r="C60" s="61" t="s">
        <v>166</v>
      </c>
      <c r="D60" s="62" t="s">
        <v>166</v>
      </c>
      <c r="E60" s="65" t="s">
        <v>45</v>
      </c>
      <c r="F60" s="66" t="s">
        <v>45</v>
      </c>
      <c r="G60" s="41">
        <v>3</v>
      </c>
      <c r="H60" s="41">
        <v>2</v>
      </c>
      <c r="I60" s="41">
        <v>3</v>
      </c>
      <c r="J60" s="41">
        <v>3</v>
      </c>
      <c r="K60" s="41">
        <v>3</v>
      </c>
      <c r="L60" s="41">
        <v>3</v>
      </c>
      <c r="M60" s="41">
        <v>3</v>
      </c>
      <c r="N60" s="41">
        <v>3</v>
      </c>
      <c r="O60" s="41">
        <v>3</v>
      </c>
      <c r="P60" s="41">
        <v>3</v>
      </c>
      <c r="Q60" s="41">
        <v>3</v>
      </c>
      <c r="R60" s="41">
        <v>3</v>
      </c>
      <c r="S60" s="41">
        <v>3</v>
      </c>
      <c r="T60" s="18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</row>
    <row r="61" spans="1:27" ht="17.25" customHeight="1" x14ac:dyDescent="0.3">
      <c r="A61" s="80"/>
      <c r="B61" s="60"/>
      <c r="C61" s="47"/>
      <c r="D61" s="48"/>
      <c r="E61" s="51"/>
      <c r="F61" s="52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57">
        <v>1</v>
      </c>
      <c r="U61" s="40"/>
      <c r="V61" s="40"/>
      <c r="W61" s="40"/>
      <c r="X61" s="40"/>
      <c r="Y61" s="40"/>
      <c r="Z61" s="40"/>
      <c r="AA61" s="40"/>
    </row>
    <row r="62" spans="1:27" ht="16.8" x14ac:dyDescent="0.3">
      <c r="A62" s="80"/>
      <c r="B62" s="60"/>
      <c r="C62" s="61" t="s">
        <v>167</v>
      </c>
      <c r="D62" s="62" t="s">
        <v>167</v>
      </c>
      <c r="E62" s="65" t="s">
        <v>43</v>
      </c>
      <c r="F62" s="66" t="s">
        <v>43</v>
      </c>
      <c r="G62" s="41">
        <v>14</v>
      </c>
      <c r="H62" s="41">
        <v>14</v>
      </c>
      <c r="I62" s="41">
        <v>14</v>
      </c>
      <c r="J62" s="41">
        <v>14</v>
      </c>
      <c r="K62" s="41">
        <v>14</v>
      </c>
      <c r="L62" s="41">
        <v>14</v>
      </c>
      <c r="M62" s="41">
        <v>14</v>
      </c>
      <c r="N62" s="41">
        <v>14</v>
      </c>
      <c r="O62" s="41">
        <v>14</v>
      </c>
      <c r="P62" s="41">
        <v>14</v>
      </c>
      <c r="Q62" s="41">
        <v>14</v>
      </c>
      <c r="R62" s="41">
        <v>14</v>
      </c>
      <c r="S62" s="41">
        <v>14</v>
      </c>
      <c r="T62" s="18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</row>
    <row r="63" spans="1:27" ht="16.8" x14ac:dyDescent="0.3">
      <c r="A63" s="80"/>
      <c r="B63" s="60"/>
      <c r="C63" s="61" t="s">
        <v>168</v>
      </c>
      <c r="D63" s="62" t="s">
        <v>168</v>
      </c>
      <c r="E63" s="65" t="s">
        <v>38</v>
      </c>
      <c r="F63" s="66" t="s">
        <v>38</v>
      </c>
      <c r="G63" s="41">
        <v>2</v>
      </c>
      <c r="H63" s="41">
        <v>2</v>
      </c>
      <c r="I63" s="41">
        <v>2</v>
      </c>
      <c r="J63" s="41">
        <v>2</v>
      </c>
      <c r="K63" s="41">
        <v>2</v>
      </c>
      <c r="L63" s="41">
        <v>2</v>
      </c>
      <c r="M63" s="41">
        <v>2</v>
      </c>
      <c r="N63" s="41">
        <v>2</v>
      </c>
      <c r="O63" s="41">
        <v>2</v>
      </c>
      <c r="P63" s="41">
        <v>2</v>
      </c>
      <c r="Q63" s="41">
        <v>2</v>
      </c>
      <c r="R63" s="41">
        <v>2</v>
      </c>
      <c r="S63" s="41">
        <v>2</v>
      </c>
      <c r="T63" s="18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</row>
    <row r="64" spans="1:27" ht="16.8" x14ac:dyDescent="0.3">
      <c r="A64" s="80"/>
      <c r="B64" s="60"/>
      <c r="C64" s="61" t="s">
        <v>169</v>
      </c>
      <c r="D64" s="62" t="s">
        <v>169</v>
      </c>
      <c r="E64" s="65" t="s">
        <v>39</v>
      </c>
      <c r="F64" s="66" t="s">
        <v>39</v>
      </c>
      <c r="G64" s="41">
        <v>2</v>
      </c>
      <c r="H64" s="41">
        <v>2</v>
      </c>
      <c r="I64" s="41">
        <v>2</v>
      </c>
      <c r="J64" s="41">
        <v>2</v>
      </c>
      <c r="K64" s="41">
        <v>2</v>
      </c>
      <c r="L64" s="41">
        <v>2</v>
      </c>
      <c r="M64" s="41">
        <v>2</v>
      </c>
      <c r="N64" s="41">
        <v>2</v>
      </c>
      <c r="O64" s="41">
        <v>2</v>
      </c>
      <c r="P64" s="41">
        <v>2</v>
      </c>
      <c r="Q64" s="41">
        <v>2</v>
      </c>
      <c r="R64" s="41">
        <v>2</v>
      </c>
      <c r="S64" s="41">
        <v>2</v>
      </c>
      <c r="T64" s="41">
        <v>2</v>
      </c>
      <c r="U64" s="18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</row>
    <row r="65" spans="1:27" ht="16.8" x14ac:dyDescent="0.3">
      <c r="A65" s="80"/>
      <c r="B65" s="60"/>
      <c r="C65" s="61" t="s">
        <v>68</v>
      </c>
      <c r="D65" s="62" t="s">
        <v>68</v>
      </c>
      <c r="E65" s="65" t="s">
        <v>43</v>
      </c>
      <c r="F65" s="66" t="s">
        <v>43</v>
      </c>
      <c r="G65" s="41">
        <v>2</v>
      </c>
      <c r="H65" s="41">
        <v>2</v>
      </c>
      <c r="I65" s="41">
        <v>2</v>
      </c>
      <c r="J65" s="41">
        <v>2</v>
      </c>
      <c r="K65" s="41">
        <v>2</v>
      </c>
      <c r="L65" s="41">
        <v>2</v>
      </c>
      <c r="M65" s="41">
        <v>2</v>
      </c>
      <c r="N65" s="41">
        <v>2</v>
      </c>
      <c r="O65" s="41">
        <v>2</v>
      </c>
      <c r="P65" s="41">
        <v>2</v>
      </c>
      <c r="Q65" s="41">
        <v>2</v>
      </c>
      <c r="R65" s="41">
        <v>2</v>
      </c>
      <c r="S65" s="41">
        <v>2</v>
      </c>
      <c r="T65" s="41">
        <v>2</v>
      </c>
      <c r="U65" s="18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</row>
    <row r="66" spans="1:27" ht="16.8" x14ac:dyDescent="0.3">
      <c r="A66" s="80"/>
      <c r="B66" s="59"/>
      <c r="C66" s="61" t="s">
        <v>69</v>
      </c>
      <c r="D66" s="62" t="s">
        <v>69</v>
      </c>
      <c r="E66" s="65" t="s">
        <v>37</v>
      </c>
      <c r="F66" s="66" t="s">
        <v>37</v>
      </c>
      <c r="G66" s="41">
        <v>1</v>
      </c>
      <c r="H66" s="41">
        <v>1</v>
      </c>
      <c r="I66" s="41">
        <v>1</v>
      </c>
      <c r="J66" s="41">
        <v>1</v>
      </c>
      <c r="K66" s="41">
        <v>1</v>
      </c>
      <c r="L66" s="41">
        <v>1</v>
      </c>
      <c r="M66" s="41">
        <v>1</v>
      </c>
      <c r="N66" s="41">
        <v>1</v>
      </c>
      <c r="O66" s="41">
        <v>1</v>
      </c>
      <c r="P66" s="41">
        <v>1</v>
      </c>
      <c r="Q66" s="41">
        <v>1</v>
      </c>
      <c r="R66" s="41">
        <v>1</v>
      </c>
      <c r="S66" s="41">
        <v>1</v>
      </c>
      <c r="T66" s="41">
        <v>1</v>
      </c>
      <c r="U66" s="18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</row>
    <row r="67" spans="1:27" ht="17.25" customHeight="1" x14ac:dyDescent="0.3">
      <c r="A67" s="80"/>
      <c r="B67" s="58" t="s">
        <v>138</v>
      </c>
      <c r="C67" s="61" t="s">
        <v>170</v>
      </c>
      <c r="D67" s="62" t="s">
        <v>170</v>
      </c>
      <c r="E67" s="65" t="s">
        <v>44</v>
      </c>
      <c r="F67" s="66" t="s">
        <v>44</v>
      </c>
      <c r="G67" s="41">
        <v>3</v>
      </c>
      <c r="H67" s="41">
        <v>2.5</v>
      </c>
      <c r="I67" s="41">
        <v>3</v>
      </c>
      <c r="J67" s="41">
        <v>3</v>
      </c>
      <c r="K67" s="41">
        <v>3</v>
      </c>
      <c r="L67" s="41">
        <v>3</v>
      </c>
      <c r="M67" s="41">
        <v>3</v>
      </c>
      <c r="N67" s="41">
        <v>3</v>
      </c>
      <c r="O67" s="41">
        <v>3</v>
      </c>
      <c r="P67" s="41">
        <v>3</v>
      </c>
      <c r="Q67" s="41">
        <v>3</v>
      </c>
      <c r="R67" s="41">
        <v>3</v>
      </c>
      <c r="S67" s="41">
        <v>3</v>
      </c>
      <c r="T67" s="41">
        <v>3</v>
      </c>
      <c r="U67" s="41">
        <v>3</v>
      </c>
      <c r="V67" s="18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</row>
    <row r="68" spans="1:27" ht="17.25" customHeight="1" x14ac:dyDescent="0.3">
      <c r="A68" s="80"/>
      <c r="B68" s="60"/>
      <c r="C68" s="47"/>
      <c r="D68" s="48"/>
      <c r="E68" s="51"/>
      <c r="F68" s="52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3">
        <v>0.5</v>
      </c>
      <c r="W68" s="40"/>
      <c r="X68" s="40"/>
      <c r="Y68" s="40"/>
      <c r="Z68" s="40"/>
      <c r="AA68" s="40"/>
    </row>
    <row r="69" spans="1:27" ht="17.399999999999999" customHeight="1" x14ac:dyDescent="0.3">
      <c r="A69" s="80"/>
      <c r="B69" s="60"/>
      <c r="C69" s="61" t="s">
        <v>171</v>
      </c>
      <c r="D69" s="62" t="s">
        <v>171</v>
      </c>
      <c r="E69" s="65" t="s">
        <v>48</v>
      </c>
      <c r="F69" s="66" t="s">
        <v>48</v>
      </c>
      <c r="G69" s="41">
        <v>14</v>
      </c>
      <c r="H69" s="41">
        <v>14</v>
      </c>
      <c r="I69" s="41">
        <v>14</v>
      </c>
      <c r="J69" s="41">
        <v>14</v>
      </c>
      <c r="K69" s="41">
        <v>14</v>
      </c>
      <c r="L69" s="41">
        <v>14</v>
      </c>
      <c r="M69" s="41">
        <v>14</v>
      </c>
      <c r="N69" s="41">
        <v>14</v>
      </c>
      <c r="O69" s="41">
        <v>14</v>
      </c>
      <c r="P69" s="41">
        <v>14</v>
      </c>
      <c r="Q69" s="41">
        <v>14</v>
      </c>
      <c r="R69" s="41">
        <v>14</v>
      </c>
      <c r="S69" s="41">
        <v>14</v>
      </c>
      <c r="T69" s="41">
        <v>14</v>
      </c>
      <c r="U69" s="41">
        <v>14</v>
      </c>
      <c r="V69" s="18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</row>
    <row r="70" spans="1:27" ht="16.8" x14ac:dyDescent="0.3">
      <c r="A70" s="80"/>
      <c r="B70" s="60"/>
      <c r="C70" s="61" t="s">
        <v>172</v>
      </c>
      <c r="D70" s="62" t="s">
        <v>172</v>
      </c>
      <c r="E70" s="65" t="s">
        <v>35</v>
      </c>
      <c r="F70" s="66" t="s">
        <v>35</v>
      </c>
      <c r="G70" s="41">
        <v>2</v>
      </c>
      <c r="H70" s="41">
        <v>2</v>
      </c>
      <c r="I70" s="41">
        <v>2</v>
      </c>
      <c r="J70" s="41">
        <v>2</v>
      </c>
      <c r="K70" s="41">
        <v>2</v>
      </c>
      <c r="L70" s="41">
        <v>2</v>
      </c>
      <c r="M70" s="41">
        <v>2</v>
      </c>
      <c r="N70" s="41">
        <v>2</v>
      </c>
      <c r="O70" s="41">
        <v>2</v>
      </c>
      <c r="P70" s="41">
        <v>2</v>
      </c>
      <c r="Q70" s="41">
        <v>2</v>
      </c>
      <c r="R70" s="41">
        <v>2</v>
      </c>
      <c r="S70" s="41">
        <v>2</v>
      </c>
      <c r="T70" s="41">
        <v>2</v>
      </c>
      <c r="U70" s="41">
        <v>2</v>
      </c>
      <c r="V70" s="18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</row>
    <row r="71" spans="1:27" ht="16.8" x14ac:dyDescent="0.3">
      <c r="A71" s="80"/>
      <c r="B71" s="60"/>
      <c r="C71" s="61" t="s">
        <v>173</v>
      </c>
      <c r="D71" s="62" t="s">
        <v>173</v>
      </c>
      <c r="E71" s="65" t="s">
        <v>37</v>
      </c>
      <c r="F71" s="66" t="s">
        <v>37</v>
      </c>
      <c r="G71" s="41">
        <v>2</v>
      </c>
      <c r="H71" s="41">
        <v>2</v>
      </c>
      <c r="I71" s="41">
        <v>2</v>
      </c>
      <c r="J71" s="41">
        <v>2</v>
      </c>
      <c r="K71" s="41">
        <v>2</v>
      </c>
      <c r="L71" s="41">
        <v>2</v>
      </c>
      <c r="M71" s="41">
        <v>2</v>
      </c>
      <c r="N71" s="41">
        <v>2</v>
      </c>
      <c r="O71" s="41">
        <v>2</v>
      </c>
      <c r="P71" s="41">
        <v>2</v>
      </c>
      <c r="Q71" s="41">
        <v>2</v>
      </c>
      <c r="R71" s="41">
        <v>2</v>
      </c>
      <c r="S71" s="41">
        <v>2</v>
      </c>
      <c r="T71" s="41">
        <v>2</v>
      </c>
      <c r="U71" s="41">
        <v>2</v>
      </c>
      <c r="V71" s="41">
        <v>2</v>
      </c>
      <c r="W71" s="18">
        <v>0</v>
      </c>
      <c r="X71" s="40">
        <v>0</v>
      </c>
      <c r="Y71" s="40">
        <v>0</v>
      </c>
      <c r="Z71" s="40">
        <v>0</v>
      </c>
      <c r="AA71" s="40">
        <v>0</v>
      </c>
    </row>
    <row r="72" spans="1:27" ht="16.8" x14ac:dyDescent="0.3">
      <c r="A72" s="80"/>
      <c r="B72" s="60"/>
      <c r="C72" s="61" t="s">
        <v>68</v>
      </c>
      <c r="D72" s="62" t="s">
        <v>68</v>
      </c>
      <c r="E72" s="65" t="s">
        <v>48</v>
      </c>
      <c r="F72" s="66" t="s">
        <v>48</v>
      </c>
      <c r="G72" s="41">
        <v>2</v>
      </c>
      <c r="H72" s="41">
        <v>2</v>
      </c>
      <c r="I72" s="41">
        <v>2</v>
      </c>
      <c r="J72" s="41">
        <v>2</v>
      </c>
      <c r="K72" s="41">
        <v>2</v>
      </c>
      <c r="L72" s="41">
        <v>2</v>
      </c>
      <c r="M72" s="41">
        <v>2</v>
      </c>
      <c r="N72" s="41">
        <v>2</v>
      </c>
      <c r="O72" s="41">
        <v>2</v>
      </c>
      <c r="P72" s="41">
        <v>2</v>
      </c>
      <c r="Q72" s="41">
        <v>2</v>
      </c>
      <c r="R72" s="41">
        <v>2</v>
      </c>
      <c r="S72" s="41">
        <v>2</v>
      </c>
      <c r="T72" s="41">
        <v>2</v>
      </c>
      <c r="U72" s="41">
        <v>2</v>
      </c>
      <c r="V72" s="41">
        <v>2</v>
      </c>
      <c r="W72" s="18">
        <v>0</v>
      </c>
      <c r="X72" s="40">
        <v>0</v>
      </c>
      <c r="Y72" s="40">
        <v>0</v>
      </c>
      <c r="Z72" s="40">
        <v>0</v>
      </c>
      <c r="AA72" s="40">
        <v>0</v>
      </c>
    </row>
    <row r="73" spans="1:27" ht="16.8" x14ac:dyDescent="0.3">
      <c r="A73" s="80"/>
      <c r="B73" s="59"/>
      <c r="C73" s="61" t="s">
        <v>69</v>
      </c>
      <c r="D73" s="62" t="s">
        <v>69</v>
      </c>
      <c r="E73" s="65" t="s">
        <v>38</v>
      </c>
      <c r="F73" s="66" t="s">
        <v>38</v>
      </c>
      <c r="G73" s="41">
        <v>1</v>
      </c>
      <c r="H73" s="41">
        <v>1</v>
      </c>
      <c r="I73" s="41">
        <v>1</v>
      </c>
      <c r="J73" s="41">
        <v>1</v>
      </c>
      <c r="K73" s="41">
        <v>1</v>
      </c>
      <c r="L73" s="41">
        <v>1</v>
      </c>
      <c r="M73" s="41">
        <v>1</v>
      </c>
      <c r="N73" s="41">
        <v>1</v>
      </c>
      <c r="O73" s="41">
        <v>1</v>
      </c>
      <c r="P73" s="41">
        <v>1</v>
      </c>
      <c r="Q73" s="41">
        <v>1</v>
      </c>
      <c r="R73" s="41">
        <v>1</v>
      </c>
      <c r="S73" s="41">
        <v>1</v>
      </c>
      <c r="T73" s="41">
        <v>1</v>
      </c>
      <c r="U73" s="41">
        <v>1</v>
      </c>
      <c r="V73" s="41">
        <v>1</v>
      </c>
      <c r="W73" s="18">
        <v>0</v>
      </c>
      <c r="X73" s="40">
        <v>0</v>
      </c>
      <c r="Y73" s="40">
        <v>0</v>
      </c>
      <c r="Z73" s="40">
        <v>0</v>
      </c>
      <c r="AA73" s="40">
        <v>0</v>
      </c>
    </row>
    <row r="74" spans="1:27" ht="17.25" customHeight="1" x14ac:dyDescent="0.3">
      <c r="A74" s="80"/>
      <c r="B74" s="58" t="s">
        <v>139</v>
      </c>
      <c r="C74" s="61" t="s">
        <v>174</v>
      </c>
      <c r="D74" s="62" t="s">
        <v>174</v>
      </c>
      <c r="E74" s="65" t="s">
        <v>45</v>
      </c>
      <c r="F74" s="66" t="s">
        <v>45</v>
      </c>
      <c r="G74" s="41">
        <v>2.5</v>
      </c>
      <c r="H74" s="41">
        <v>2.5</v>
      </c>
      <c r="I74" s="41">
        <v>2.5</v>
      </c>
      <c r="J74" s="41">
        <v>2.5</v>
      </c>
      <c r="K74" s="41">
        <v>2.5</v>
      </c>
      <c r="L74" s="41">
        <v>2.5</v>
      </c>
      <c r="M74" s="41">
        <v>2.5</v>
      </c>
      <c r="N74" s="41">
        <v>2.5</v>
      </c>
      <c r="O74" s="41">
        <v>2.5</v>
      </c>
      <c r="P74" s="41">
        <v>2.5</v>
      </c>
      <c r="Q74" s="41">
        <v>2.5</v>
      </c>
      <c r="R74" s="41">
        <v>2.5</v>
      </c>
      <c r="S74" s="41">
        <v>2.5</v>
      </c>
      <c r="T74" s="41">
        <v>2.5</v>
      </c>
      <c r="U74" s="41">
        <v>2.5</v>
      </c>
      <c r="V74" s="41">
        <v>2.5</v>
      </c>
      <c r="W74" s="41">
        <v>2.5</v>
      </c>
      <c r="X74" s="18">
        <v>0</v>
      </c>
      <c r="Y74" s="40">
        <v>0</v>
      </c>
      <c r="Z74" s="40">
        <v>0</v>
      </c>
      <c r="AA74" s="40">
        <v>0</v>
      </c>
    </row>
    <row r="75" spans="1:27" ht="16.8" customHeight="1" x14ac:dyDescent="0.3">
      <c r="A75" s="80"/>
      <c r="B75" s="60"/>
      <c r="C75" s="61" t="s">
        <v>175</v>
      </c>
      <c r="D75" s="62" t="s">
        <v>175</v>
      </c>
      <c r="E75" s="65" t="s">
        <v>49</v>
      </c>
      <c r="F75" s="66" t="s">
        <v>49</v>
      </c>
      <c r="G75" s="41">
        <v>9</v>
      </c>
      <c r="H75" s="41">
        <v>9.5</v>
      </c>
      <c r="I75" s="41">
        <v>9</v>
      </c>
      <c r="J75" s="41">
        <v>9</v>
      </c>
      <c r="K75" s="41">
        <v>9</v>
      </c>
      <c r="L75" s="41">
        <v>9</v>
      </c>
      <c r="M75" s="41">
        <v>9</v>
      </c>
      <c r="N75" s="41">
        <v>9</v>
      </c>
      <c r="O75" s="41">
        <v>9</v>
      </c>
      <c r="P75" s="41">
        <v>9</v>
      </c>
      <c r="Q75" s="41">
        <v>9</v>
      </c>
      <c r="R75" s="41">
        <v>9</v>
      </c>
      <c r="S75" s="41">
        <v>9</v>
      </c>
      <c r="T75" s="41">
        <v>9</v>
      </c>
      <c r="U75" s="41">
        <v>9</v>
      </c>
      <c r="V75" s="41">
        <v>9</v>
      </c>
      <c r="W75" s="41">
        <v>9</v>
      </c>
      <c r="X75" s="18">
        <v>0</v>
      </c>
      <c r="Y75" s="40">
        <v>0</v>
      </c>
      <c r="Z75" s="40">
        <v>0</v>
      </c>
      <c r="AA75" s="40">
        <v>0</v>
      </c>
    </row>
    <row r="76" spans="1:27" ht="16.8" customHeight="1" x14ac:dyDescent="0.3">
      <c r="A76" s="80"/>
      <c r="B76" s="60"/>
      <c r="C76" s="47"/>
      <c r="D76" s="48"/>
      <c r="E76" s="51"/>
      <c r="F76" s="52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2">
        <v>0.5</v>
      </c>
      <c r="Y76" s="40"/>
      <c r="Z76" s="40"/>
      <c r="AA76" s="40"/>
    </row>
    <row r="77" spans="1:27" ht="16.8" x14ac:dyDescent="0.3">
      <c r="A77" s="80"/>
      <c r="B77" s="60"/>
      <c r="C77" s="61" t="s">
        <v>176</v>
      </c>
      <c r="D77" s="62" t="s">
        <v>176</v>
      </c>
      <c r="E77" s="65" t="s">
        <v>36</v>
      </c>
      <c r="F77" s="66" t="s">
        <v>36</v>
      </c>
      <c r="G77" s="41">
        <v>1</v>
      </c>
      <c r="H77" s="41">
        <v>1</v>
      </c>
      <c r="I77" s="41">
        <v>1</v>
      </c>
      <c r="J77" s="41">
        <v>1</v>
      </c>
      <c r="K77" s="41">
        <v>1</v>
      </c>
      <c r="L77" s="41">
        <v>1</v>
      </c>
      <c r="M77" s="41">
        <v>1</v>
      </c>
      <c r="N77" s="41">
        <v>1</v>
      </c>
      <c r="O77" s="41">
        <v>1</v>
      </c>
      <c r="P77" s="41">
        <v>1</v>
      </c>
      <c r="Q77" s="41">
        <v>1</v>
      </c>
      <c r="R77" s="41">
        <v>1</v>
      </c>
      <c r="S77" s="41">
        <v>1</v>
      </c>
      <c r="T77" s="41">
        <v>1</v>
      </c>
      <c r="U77" s="41">
        <v>1</v>
      </c>
      <c r="V77" s="41">
        <v>1</v>
      </c>
      <c r="W77" s="41">
        <v>1</v>
      </c>
      <c r="X77" s="18">
        <v>0</v>
      </c>
      <c r="Y77" s="40">
        <v>0</v>
      </c>
      <c r="Z77" s="40">
        <v>0</v>
      </c>
      <c r="AA77" s="40">
        <v>0</v>
      </c>
    </row>
    <row r="78" spans="1:27" ht="16.8" x14ac:dyDescent="0.3">
      <c r="A78" s="80"/>
      <c r="B78" s="60"/>
      <c r="C78" s="61" t="s">
        <v>177</v>
      </c>
      <c r="D78" s="62" t="s">
        <v>177</v>
      </c>
      <c r="E78" s="65" t="s">
        <v>35</v>
      </c>
      <c r="F78" s="66" t="s">
        <v>35</v>
      </c>
      <c r="G78" s="41">
        <v>1</v>
      </c>
      <c r="H78" s="41">
        <v>1</v>
      </c>
      <c r="I78" s="41">
        <v>1</v>
      </c>
      <c r="J78" s="41">
        <v>1</v>
      </c>
      <c r="K78" s="41">
        <v>1</v>
      </c>
      <c r="L78" s="41">
        <v>1</v>
      </c>
      <c r="M78" s="41">
        <v>1</v>
      </c>
      <c r="N78" s="41">
        <v>1</v>
      </c>
      <c r="O78" s="41">
        <v>1</v>
      </c>
      <c r="P78" s="41">
        <v>1</v>
      </c>
      <c r="Q78" s="41">
        <v>1</v>
      </c>
      <c r="R78" s="41">
        <v>1</v>
      </c>
      <c r="S78" s="41">
        <v>1</v>
      </c>
      <c r="T78" s="41">
        <v>1</v>
      </c>
      <c r="U78" s="41">
        <v>1</v>
      </c>
      <c r="V78" s="41">
        <v>1</v>
      </c>
      <c r="W78" s="41">
        <v>1</v>
      </c>
      <c r="X78" s="18">
        <v>0</v>
      </c>
      <c r="Y78" s="40">
        <v>0</v>
      </c>
      <c r="Z78" s="40">
        <v>0</v>
      </c>
      <c r="AA78" s="40">
        <v>0</v>
      </c>
    </row>
    <row r="79" spans="1:27" ht="16.8" x14ac:dyDescent="0.3">
      <c r="A79" s="80"/>
      <c r="B79" s="60"/>
      <c r="C79" s="61" t="s">
        <v>68</v>
      </c>
      <c r="D79" s="62" t="s">
        <v>68</v>
      </c>
      <c r="E79" s="65" t="s">
        <v>49</v>
      </c>
      <c r="F79" s="66" t="s">
        <v>49</v>
      </c>
      <c r="G79" s="41">
        <v>1.5</v>
      </c>
      <c r="H79" s="41">
        <v>1.5</v>
      </c>
      <c r="I79" s="41">
        <v>1.5</v>
      </c>
      <c r="J79" s="41">
        <v>1.5</v>
      </c>
      <c r="K79" s="41">
        <v>1.5</v>
      </c>
      <c r="L79" s="41">
        <v>1.5</v>
      </c>
      <c r="M79" s="41">
        <v>1.5</v>
      </c>
      <c r="N79" s="41">
        <v>1.5</v>
      </c>
      <c r="O79" s="41">
        <v>1.5</v>
      </c>
      <c r="P79" s="41">
        <v>1.5</v>
      </c>
      <c r="Q79" s="41">
        <v>1.5</v>
      </c>
      <c r="R79" s="41">
        <v>1.5</v>
      </c>
      <c r="S79" s="41">
        <v>1.5</v>
      </c>
      <c r="T79" s="41">
        <v>1.5</v>
      </c>
      <c r="U79" s="41">
        <v>1.5</v>
      </c>
      <c r="V79" s="41">
        <v>1.5</v>
      </c>
      <c r="W79" s="41">
        <v>1.5</v>
      </c>
      <c r="X79" s="18">
        <v>0</v>
      </c>
      <c r="Y79" s="40">
        <v>0</v>
      </c>
      <c r="Z79" s="40">
        <v>0</v>
      </c>
      <c r="AA79" s="40">
        <v>0</v>
      </c>
    </row>
    <row r="80" spans="1:27" ht="16.8" x14ac:dyDescent="0.3">
      <c r="A80" s="80"/>
      <c r="B80" s="59"/>
      <c r="C80" s="61" t="s">
        <v>69</v>
      </c>
      <c r="D80" s="62" t="s">
        <v>69</v>
      </c>
      <c r="E80" s="65" t="s">
        <v>39</v>
      </c>
      <c r="F80" s="66" t="s">
        <v>39</v>
      </c>
      <c r="G80" s="41">
        <v>1</v>
      </c>
      <c r="H80" s="41">
        <v>1</v>
      </c>
      <c r="I80" s="41">
        <v>1</v>
      </c>
      <c r="J80" s="41">
        <v>1</v>
      </c>
      <c r="K80" s="41">
        <v>1</v>
      </c>
      <c r="L80" s="41">
        <v>1</v>
      </c>
      <c r="M80" s="41">
        <v>1</v>
      </c>
      <c r="N80" s="41">
        <v>1</v>
      </c>
      <c r="O80" s="41">
        <v>1</v>
      </c>
      <c r="P80" s="41">
        <v>1</v>
      </c>
      <c r="Q80" s="41">
        <v>1</v>
      </c>
      <c r="R80" s="41">
        <v>1</v>
      </c>
      <c r="S80" s="41">
        <v>1</v>
      </c>
      <c r="T80" s="41">
        <v>1</v>
      </c>
      <c r="U80" s="41">
        <v>1</v>
      </c>
      <c r="V80" s="41">
        <v>1</v>
      </c>
      <c r="W80" s="41">
        <v>1</v>
      </c>
      <c r="X80" s="18">
        <v>0</v>
      </c>
      <c r="Y80" s="40">
        <v>0</v>
      </c>
      <c r="Z80" s="40">
        <v>0</v>
      </c>
      <c r="AA80" s="40">
        <v>0</v>
      </c>
    </row>
    <row r="81" spans="1:27" ht="17.25" customHeight="1" x14ac:dyDescent="0.3">
      <c r="A81" s="80"/>
      <c r="B81" s="58" t="s">
        <v>140</v>
      </c>
      <c r="C81" s="61" t="s">
        <v>178</v>
      </c>
      <c r="D81" s="62" t="s">
        <v>178</v>
      </c>
      <c r="E81" s="65" t="s">
        <v>44</v>
      </c>
      <c r="F81" s="66" t="s">
        <v>44</v>
      </c>
      <c r="G81" s="41">
        <v>2.5</v>
      </c>
      <c r="H81" s="41">
        <v>2.5</v>
      </c>
      <c r="I81" s="41">
        <v>2.5</v>
      </c>
      <c r="J81" s="41">
        <v>2.5</v>
      </c>
      <c r="K81" s="41">
        <v>2.5</v>
      </c>
      <c r="L81" s="41">
        <v>2.5</v>
      </c>
      <c r="M81" s="41">
        <v>2.5</v>
      </c>
      <c r="N81" s="41">
        <v>2.5</v>
      </c>
      <c r="O81" s="41">
        <v>2.5</v>
      </c>
      <c r="P81" s="41">
        <v>2.5</v>
      </c>
      <c r="Q81" s="41">
        <v>2.5</v>
      </c>
      <c r="R81" s="41">
        <v>2.5</v>
      </c>
      <c r="S81" s="41">
        <v>2.5</v>
      </c>
      <c r="T81" s="41">
        <v>2.5</v>
      </c>
      <c r="U81" s="41">
        <v>2.5</v>
      </c>
      <c r="V81" s="41">
        <v>2.5</v>
      </c>
      <c r="W81" s="41">
        <v>2.5</v>
      </c>
      <c r="X81" s="41">
        <v>2.5</v>
      </c>
      <c r="Y81" s="18">
        <v>0</v>
      </c>
      <c r="Z81" s="40">
        <v>0</v>
      </c>
      <c r="AA81" s="40">
        <v>0</v>
      </c>
    </row>
    <row r="82" spans="1:27" ht="16.8" customHeight="1" x14ac:dyDescent="0.3">
      <c r="A82" s="80"/>
      <c r="B82" s="60"/>
      <c r="C82" s="61" t="s">
        <v>179</v>
      </c>
      <c r="D82" s="62" t="s">
        <v>179</v>
      </c>
      <c r="E82" s="65" t="s">
        <v>47</v>
      </c>
      <c r="F82" s="66" t="s">
        <v>47</v>
      </c>
      <c r="G82" s="41">
        <v>9</v>
      </c>
      <c r="H82" s="41">
        <v>9</v>
      </c>
      <c r="I82" s="41">
        <v>9</v>
      </c>
      <c r="J82" s="41">
        <v>9</v>
      </c>
      <c r="K82" s="41">
        <v>9</v>
      </c>
      <c r="L82" s="41">
        <v>9</v>
      </c>
      <c r="M82" s="41">
        <v>9</v>
      </c>
      <c r="N82" s="41">
        <v>9</v>
      </c>
      <c r="O82" s="41">
        <v>9</v>
      </c>
      <c r="P82" s="41">
        <v>9</v>
      </c>
      <c r="Q82" s="41">
        <v>9</v>
      </c>
      <c r="R82" s="41">
        <v>9</v>
      </c>
      <c r="S82" s="41">
        <v>9</v>
      </c>
      <c r="T82" s="41">
        <v>9</v>
      </c>
      <c r="U82" s="41">
        <v>9</v>
      </c>
      <c r="V82" s="41">
        <v>9</v>
      </c>
      <c r="W82" s="41">
        <v>9</v>
      </c>
      <c r="X82" s="41">
        <v>9</v>
      </c>
      <c r="Y82" s="18">
        <v>0</v>
      </c>
      <c r="Z82" s="40">
        <v>0</v>
      </c>
      <c r="AA82" s="40">
        <v>0</v>
      </c>
    </row>
    <row r="83" spans="1:27" ht="16.8" x14ac:dyDescent="0.3">
      <c r="A83" s="80"/>
      <c r="B83" s="60"/>
      <c r="C83" s="61" t="s">
        <v>180</v>
      </c>
      <c r="D83" s="62" t="s">
        <v>180</v>
      </c>
      <c r="E83" s="65" t="s">
        <v>36</v>
      </c>
      <c r="F83" s="66" t="s">
        <v>36</v>
      </c>
      <c r="G83" s="41">
        <v>1</v>
      </c>
      <c r="H83" s="41">
        <v>1</v>
      </c>
      <c r="I83" s="41">
        <v>1</v>
      </c>
      <c r="J83" s="41">
        <v>1</v>
      </c>
      <c r="K83" s="41">
        <v>1</v>
      </c>
      <c r="L83" s="41">
        <v>1</v>
      </c>
      <c r="M83" s="41">
        <v>1</v>
      </c>
      <c r="N83" s="41">
        <v>1</v>
      </c>
      <c r="O83" s="41">
        <v>1</v>
      </c>
      <c r="P83" s="41">
        <v>1</v>
      </c>
      <c r="Q83" s="41">
        <v>1</v>
      </c>
      <c r="R83" s="41">
        <v>1</v>
      </c>
      <c r="S83" s="41">
        <v>1</v>
      </c>
      <c r="T83" s="41">
        <v>1</v>
      </c>
      <c r="U83" s="41">
        <v>1</v>
      </c>
      <c r="V83" s="41">
        <v>1</v>
      </c>
      <c r="W83" s="41">
        <v>1</v>
      </c>
      <c r="X83" s="41">
        <v>1</v>
      </c>
      <c r="Y83" s="18">
        <v>0</v>
      </c>
      <c r="Z83" s="40">
        <v>0</v>
      </c>
      <c r="AA83" s="40">
        <v>0</v>
      </c>
    </row>
    <row r="84" spans="1:27" ht="16.8" x14ac:dyDescent="0.3">
      <c r="A84" s="80"/>
      <c r="B84" s="60"/>
      <c r="C84" s="61" t="s">
        <v>181</v>
      </c>
      <c r="D84" s="62" t="s">
        <v>181</v>
      </c>
      <c r="E84" s="65" t="s">
        <v>37</v>
      </c>
      <c r="F84" s="66" t="s">
        <v>37</v>
      </c>
      <c r="G84" s="41">
        <v>1</v>
      </c>
      <c r="H84" s="41">
        <v>1</v>
      </c>
      <c r="I84" s="41">
        <v>1</v>
      </c>
      <c r="J84" s="41">
        <v>1</v>
      </c>
      <c r="K84" s="41">
        <v>1</v>
      </c>
      <c r="L84" s="41">
        <v>1</v>
      </c>
      <c r="M84" s="41">
        <v>1</v>
      </c>
      <c r="N84" s="41">
        <v>1</v>
      </c>
      <c r="O84" s="41">
        <v>1</v>
      </c>
      <c r="P84" s="41">
        <v>1</v>
      </c>
      <c r="Q84" s="41">
        <v>1</v>
      </c>
      <c r="R84" s="41">
        <v>1</v>
      </c>
      <c r="S84" s="41">
        <v>1</v>
      </c>
      <c r="T84" s="41">
        <v>1</v>
      </c>
      <c r="U84" s="41">
        <v>1</v>
      </c>
      <c r="V84" s="41">
        <v>1</v>
      </c>
      <c r="W84" s="41">
        <v>1</v>
      </c>
      <c r="X84" s="41">
        <v>1</v>
      </c>
      <c r="Y84" s="18">
        <v>0</v>
      </c>
      <c r="Z84" s="40">
        <v>0</v>
      </c>
      <c r="AA84" s="40">
        <v>0</v>
      </c>
    </row>
    <row r="85" spans="1:27" ht="16.8" x14ac:dyDescent="0.3">
      <c r="A85" s="80"/>
      <c r="B85" s="60"/>
      <c r="C85" s="61" t="s">
        <v>68</v>
      </c>
      <c r="D85" s="62" t="s">
        <v>68</v>
      </c>
      <c r="E85" s="65" t="s">
        <v>47</v>
      </c>
      <c r="F85" s="66" t="s">
        <v>47</v>
      </c>
      <c r="G85" s="41">
        <v>1.5</v>
      </c>
      <c r="H85" s="41">
        <v>1.5</v>
      </c>
      <c r="I85" s="41">
        <v>1.5</v>
      </c>
      <c r="J85" s="41">
        <v>1.5</v>
      </c>
      <c r="K85" s="41">
        <v>1.5</v>
      </c>
      <c r="L85" s="41">
        <v>1.5</v>
      </c>
      <c r="M85" s="41">
        <v>1.5</v>
      </c>
      <c r="N85" s="41">
        <v>1.5</v>
      </c>
      <c r="O85" s="41">
        <v>1.5</v>
      </c>
      <c r="P85" s="41">
        <v>1.5</v>
      </c>
      <c r="Q85" s="41">
        <v>1.5</v>
      </c>
      <c r="R85" s="41">
        <v>1.5</v>
      </c>
      <c r="S85" s="41">
        <v>1.5</v>
      </c>
      <c r="T85" s="41">
        <v>1.5</v>
      </c>
      <c r="U85" s="41">
        <v>1.5</v>
      </c>
      <c r="V85" s="41">
        <v>1.5</v>
      </c>
      <c r="W85" s="41">
        <v>1.5</v>
      </c>
      <c r="X85" s="41">
        <v>1.5</v>
      </c>
      <c r="Y85" s="18">
        <v>0</v>
      </c>
      <c r="Z85" s="40">
        <v>0</v>
      </c>
      <c r="AA85" s="40">
        <v>0</v>
      </c>
    </row>
    <row r="86" spans="1:27" ht="16.8" x14ac:dyDescent="0.3">
      <c r="A86" s="80"/>
      <c r="B86" s="59"/>
      <c r="C86" s="61" t="s">
        <v>69</v>
      </c>
      <c r="D86" s="62" t="s">
        <v>69</v>
      </c>
      <c r="E86" s="65" t="s">
        <v>38</v>
      </c>
      <c r="F86" s="66" t="s">
        <v>38</v>
      </c>
      <c r="G86" s="41">
        <v>1</v>
      </c>
      <c r="H86" s="41">
        <v>1</v>
      </c>
      <c r="I86" s="41">
        <v>1</v>
      </c>
      <c r="J86" s="41">
        <v>1</v>
      </c>
      <c r="K86" s="41">
        <v>1</v>
      </c>
      <c r="L86" s="41">
        <v>1</v>
      </c>
      <c r="M86" s="41">
        <v>1</v>
      </c>
      <c r="N86" s="41">
        <v>1</v>
      </c>
      <c r="O86" s="41">
        <v>1</v>
      </c>
      <c r="P86" s="41">
        <v>1</v>
      </c>
      <c r="Q86" s="41">
        <v>1</v>
      </c>
      <c r="R86" s="41">
        <v>1</v>
      </c>
      <c r="S86" s="41">
        <v>1</v>
      </c>
      <c r="T86" s="41">
        <v>1</v>
      </c>
      <c r="U86" s="41">
        <v>1</v>
      </c>
      <c r="V86" s="41">
        <v>1</v>
      </c>
      <c r="W86" s="41">
        <v>1</v>
      </c>
      <c r="X86" s="41">
        <v>1</v>
      </c>
      <c r="Y86" s="18">
        <v>0</v>
      </c>
      <c r="Z86" s="40">
        <v>0</v>
      </c>
      <c r="AA86" s="40">
        <v>0</v>
      </c>
    </row>
    <row r="87" spans="1:27" ht="17.25" customHeight="1" x14ac:dyDescent="0.3">
      <c r="A87" s="80"/>
      <c r="B87" s="58" t="s">
        <v>141</v>
      </c>
      <c r="C87" s="61" t="s">
        <v>182</v>
      </c>
      <c r="D87" s="62" t="s">
        <v>182</v>
      </c>
      <c r="E87" s="65" t="s">
        <v>45</v>
      </c>
      <c r="F87" s="66" t="s">
        <v>45</v>
      </c>
      <c r="G87" s="41">
        <v>2.5</v>
      </c>
      <c r="H87" s="41">
        <v>3.5</v>
      </c>
      <c r="I87" s="41">
        <v>2.5</v>
      </c>
      <c r="J87" s="41">
        <v>2.5</v>
      </c>
      <c r="K87" s="41">
        <v>2.5</v>
      </c>
      <c r="L87" s="41">
        <v>2.5</v>
      </c>
      <c r="M87" s="41">
        <v>2.5</v>
      </c>
      <c r="N87" s="41">
        <v>2.5</v>
      </c>
      <c r="O87" s="41">
        <v>2.5</v>
      </c>
      <c r="P87" s="41">
        <v>2.5</v>
      </c>
      <c r="Q87" s="41">
        <v>2.5</v>
      </c>
      <c r="R87" s="41">
        <v>2.5</v>
      </c>
      <c r="S87" s="41">
        <v>2.5</v>
      </c>
      <c r="T87" s="41">
        <v>2.5</v>
      </c>
      <c r="U87" s="41">
        <v>2.5</v>
      </c>
      <c r="V87" s="41">
        <v>2.5</v>
      </c>
      <c r="W87" s="41">
        <v>2.5</v>
      </c>
      <c r="X87" s="41">
        <v>2.5</v>
      </c>
      <c r="Y87" s="41">
        <v>2.5</v>
      </c>
      <c r="Z87" s="18">
        <v>0</v>
      </c>
      <c r="AA87" s="40">
        <v>0</v>
      </c>
    </row>
    <row r="88" spans="1:27" ht="17.25" customHeight="1" x14ac:dyDescent="0.3">
      <c r="A88" s="80"/>
      <c r="B88" s="60"/>
      <c r="C88" s="47"/>
      <c r="D88" s="48"/>
      <c r="E88" s="51"/>
      <c r="F88" s="52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2">
        <v>1</v>
      </c>
      <c r="AA88" s="40"/>
    </row>
    <row r="89" spans="1:27" ht="16.8" customHeight="1" x14ac:dyDescent="0.3">
      <c r="A89" s="80"/>
      <c r="B89" s="60"/>
      <c r="C89" s="61" t="s">
        <v>183</v>
      </c>
      <c r="D89" s="62" t="s">
        <v>183</v>
      </c>
      <c r="E89" s="65" t="s">
        <v>130</v>
      </c>
      <c r="F89" s="66" t="s">
        <v>130</v>
      </c>
      <c r="G89" s="41">
        <v>9</v>
      </c>
      <c r="H89" s="41">
        <v>9</v>
      </c>
      <c r="I89" s="41">
        <v>9</v>
      </c>
      <c r="J89" s="41">
        <v>9</v>
      </c>
      <c r="K89" s="41">
        <v>9</v>
      </c>
      <c r="L89" s="41">
        <v>9</v>
      </c>
      <c r="M89" s="41">
        <v>9</v>
      </c>
      <c r="N89" s="41">
        <v>9</v>
      </c>
      <c r="O89" s="41">
        <v>9</v>
      </c>
      <c r="P89" s="41">
        <v>9</v>
      </c>
      <c r="Q89" s="41">
        <v>9</v>
      </c>
      <c r="R89" s="41">
        <v>9</v>
      </c>
      <c r="S89" s="41">
        <v>9</v>
      </c>
      <c r="T89" s="41">
        <v>9</v>
      </c>
      <c r="U89" s="41">
        <v>9</v>
      </c>
      <c r="V89" s="41">
        <v>9</v>
      </c>
      <c r="W89" s="41">
        <v>9</v>
      </c>
      <c r="X89" s="41">
        <v>9</v>
      </c>
      <c r="Y89" s="41">
        <v>9</v>
      </c>
      <c r="Z89" s="18">
        <v>0</v>
      </c>
      <c r="AA89" s="40">
        <v>0</v>
      </c>
    </row>
    <row r="90" spans="1:27" ht="16.8" x14ac:dyDescent="0.3">
      <c r="A90" s="80"/>
      <c r="B90" s="60"/>
      <c r="C90" s="61" t="s">
        <v>184</v>
      </c>
      <c r="D90" s="62" t="s">
        <v>184</v>
      </c>
      <c r="E90" s="65" t="s">
        <v>35</v>
      </c>
      <c r="F90" s="66" t="s">
        <v>35</v>
      </c>
      <c r="G90" s="41">
        <v>1</v>
      </c>
      <c r="H90" s="41">
        <v>1</v>
      </c>
      <c r="I90" s="41">
        <v>1</v>
      </c>
      <c r="J90" s="41">
        <v>1</v>
      </c>
      <c r="K90" s="41">
        <v>1</v>
      </c>
      <c r="L90" s="41">
        <v>1</v>
      </c>
      <c r="M90" s="41">
        <v>1</v>
      </c>
      <c r="N90" s="41">
        <v>1</v>
      </c>
      <c r="O90" s="41">
        <v>1</v>
      </c>
      <c r="P90" s="41">
        <v>1</v>
      </c>
      <c r="Q90" s="41">
        <v>1</v>
      </c>
      <c r="R90" s="41">
        <v>1</v>
      </c>
      <c r="S90" s="41">
        <v>1</v>
      </c>
      <c r="T90" s="41">
        <v>1</v>
      </c>
      <c r="U90" s="41">
        <v>1</v>
      </c>
      <c r="V90" s="41">
        <v>1</v>
      </c>
      <c r="W90" s="41">
        <v>1</v>
      </c>
      <c r="X90" s="41">
        <v>1</v>
      </c>
      <c r="Y90" s="41">
        <v>1</v>
      </c>
      <c r="Z90" s="18">
        <v>0</v>
      </c>
      <c r="AA90" s="40">
        <v>0</v>
      </c>
    </row>
    <row r="91" spans="1:27" ht="16.8" x14ac:dyDescent="0.3">
      <c r="A91" s="80"/>
      <c r="B91" s="60"/>
      <c r="C91" s="61" t="s">
        <v>185</v>
      </c>
      <c r="D91" s="62" t="s">
        <v>185</v>
      </c>
      <c r="E91" s="65" t="s">
        <v>39</v>
      </c>
      <c r="F91" s="66" t="s">
        <v>39</v>
      </c>
      <c r="G91" s="41">
        <v>1</v>
      </c>
      <c r="H91" s="41">
        <v>1</v>
      </c>
      <c r="I91" s="41">
        <v>1</v>
      </c>
      <c r="J91" s="41">
        <v>1</v>
      </c>
      <c r="K91" s="41">
        <v>1</v>
      </c>
      <c r="L91" s="41">
        <v>1</v>
      </c>
      <c r="M91" s="41">
        <v>1</v>
      </c>
      <c r="N91" s="41">
        <v>1</v>
      </c>
      <c r="O91" s="41">
        <v>1</v>
      </c>
      <c r="P91" s="41">
        <v>1</v>
      </c>
      <c r="Q91" s="41">
        <v>1</v>
      </c>
      <c r="R91" s="41">
        <v>1</v>
      </c>
      <c r="S91" s="41">
        <v>1</v>
      </c>
      <c r="T91" s="41">
        <v>1</v>
      </c>
      <c r="U91" s="41">
        <v>1</v>
      </c>
      <c r="V91" s="41">
        <v>1</v>
      </c>
      <c r="W91" s="41">
        <v>1</v>
      </c>
      <c r="X91" s="41">
        <v>1</v>
      </c>
      <c r="Y91" s="41">
        <v>1</v>
      </c>
      <c r="Z91" s="18">
        <v>0</v>
      </c>
      <c r="AA91" s="40">
        <v>0</v>
      </c>
    </row>
    <row r="92" spans="1:27" ht="16.8" x14ac:dyDescent="0.3">
      <c r="A92" s="80"/>
      <c r="B92" s="60"/>
      <c r="C92" s="61" t="s">
        <v>68</v>
      </c>
      <c r="D92" s="62" t="s">
        <v>68</v>
      </c>
      <c r="E92" s="65" t="s">
        <v>130</v>
      </c>
      <c r="F92" s="66" t="s">
        <v>130</v>
      </c>
      <c r="G92" s="41">
        <v>1.5</v>
      </c>
      <c r="H92" s="41">
        <v>1.5</v>
      </c>
      <c r="I92" s="41">
        <v>1.5</v>
      </c>
      <c r="J92" s="41">
        <v>1.5</v>
      </c>
      <c r="K92" s="41">
        <v>1.5</v>
      </c>
      <c r="L92" s="41">
        <v>1.5</v>
      </c>
      <c r="M92" s="41">
        <v>1.5</v>
      </c>
      <c r="N92" s="41">
        <v>1.5</v>
      </c>
      <c r="O92" s="41">
        <v>1.5</v>
      </c>
      <c r="P92" s="41">
        <v>1.5</v>
      </c>
      <c r="Q92" s="41">
        <v>1.5</v>
      </c>
      <c r="R92" s="41">
        <v>1.5</v>
      </c>
      <c r="S92" s="41">
        <v>1.5</v>
      </c>
      <c r="T92" s="41">
        <v>1.5</v>
      </c>
      <c r="U92" s="41">
        <v>1.5</v>
      </c>
      <c r="V92" s="41">
        <v>1.5</v>
      </c>
      <c r="W92" s="41">
        <v>1.5</v>
      </c>
      <c r="X92" s="41">
        <v>1.5</v>
      </c>
      <c r="Y92" s="41">
        <v>1.5</v>
      </c>
      <c r="Z92" s="18">
        <v>0</v>
      </c>
      <c r="AA92" s="40">
        <v>0</v>
      </c>
    </row>
    <row r="93" spans="1:27" ht="16.8" x14ac:dyDescent="0.3">
      <c r="A93" s="80"/>
      <c r="B93" s="59"/>
      <c r="C93" s="61" t="s">
        <v>69</v>
      </c>
      <c r="D93" s="62" t="s">
        <v>69</v>
      </c>
      <c r="E93" s="65" t="s">
        <v>37</v>
      </c>
      <c r="F93" s="66" t="s">
        <v>37</v>
      </c>
      <c r="G93" s="41">
        <v>1</v>
      </c>
      <c r="H93" s="41">
        <v>1</v>
      </c>
      <c r="I93" s="41">
        <v>1</v>
      </c>
      <c r="J93" s="41">
        <v>1</v>
      </c>
      <c r="K93" s="41">
        <v>1</v>
      </c>
      <c r="L93" s="41">
        <v>1</v>
      </c>
      <c r="M93" s="41">
        <v>1</v>
      </c>
      <c r="N93" s="41">
        <v>1</v>
      </c>
      <c r="O93" s="41">
        <v>1</v>
      </c>
      <c r="P93" s="41">
        <v>1</v>
      </c>
      <c r="Q93" s="41">
        <v>1</v>
      </c>
      <c r="R93" s="41">
        <v>1</v>
      </c>
      <c r="S93" s="41">
        <v>1</v>
      </c>
      <c r="T93" s="41">
        <v>1</v>
      </c>
      <c r="U93" s="41">
        <v>1</v>
      </c>
      <c r="V93" s="41">
        <v>1</v>
      </c>
      <c r="W93" s="41">
        <v>1</v>
      </c>
      <c r="X93" s="41">
        <v>1</v>
      </c>
      <c r="Y93" s="41">
        <v>1</v>
      </c>
      <c r="Z93" s="18">
        <v>0</v>
      </c>
      <c r="AA93" s="40">
        <v>0</v>
      </c>
    </row>
    <row r="94" spans="1:27" ht="16.8" x14ac:dyDescent="0.3">
      <c r="A94" s="80"/>
      <c r="B94" s="80" t="s">
        <v>20</v>
      </c>
      <c r="C94" s="88" t="s">
        <v>21</v>
      </c>
      <c r="D94" s="88"/>
      <c r="E94" s="85" t="s">
        <v>24</v>
      </c>
      <c r="F94" s="85"/>
      <c r="G94" s="40">
        <v>3</v>
      </c>
      <c r="H94" s="40">
        <v>1.5</v>
      </c>
      <c r="I94" s="40">
        <v>3</v>
      </c>
      <c r="J94" s="40">
        <v>3</v>
      </c>
      <c r="K94" s="40">
        <v>3</v>
      </c>
      <c r="L94" s="40">
        <v>3</v>
      </c>
      <c r="M94" s="40">
        <v>3</v>
      </c>
      <c r="N94" s="40">
        <v>3</v>
      </c>
      <c r="O94" s="40">
        <v>3</v>
      </c>
      <c r="P94" s="40">
        <v>3</v>
      </c>
      <c r="Q94" s="40">
        <v>3</v>
      </c>
      <c r="R94" s="40">
        <v>3</v>
      </c>
      <c r="S94" s="40">
        <v>3</v>
      </c>
      <c r="T94" s="40">
        <v>3</v>
      </c>
      <c r="U94" s="40">
        <v>3</v>
      </c>
      <c r="V94" s="40">
        <v>3</v>
      </c>
      <c r="W94" s="40">
        <v>3</v>
      </c>
      <c r="X94" s="40">
        <v>3</v>
      </c>
      <c r="Y94" s="40">
        <v>3</v>
      </c>
      <c r="Z94" s="40">
        <v>3</v>
      </c>
      <c r="AA94" s="18">
        <v>0</v>
      </c>
    </row>
    <row r="95" spans="1:27" ht="16.8" x14ac:dyDescent="0.3">
      <c r="A95" s="80"/>
      <c r="B95" s="80"/>
      <c r="C95" s="54"/>
      <c r="D95" s="54"/>
      <c r="E95" s="53"/>
      <c r="F95" s="53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AA95" s="43">
        <v>1.5</v>
      </c>
    </row>
    <row r="96" spans="1:27" ht="16.8" x14ac:dyDescent="0.3">
      <c r="A96" s="80"/>
      <c r="B96" s="80"/>
      <c r="C96" s="88" t="s">
        <v>22</v>
      </c>
      <c r="D96" s="88"/>
      <c r="E96" s="85" t="s">
        <v>24</v>
      </c>
      <c r="F96" s="85"/>
      <c r="G96" s="40">
        <v>1.5</v>
      </c>
      <c r="H96" s="40">
        <v>1.5</v>
      </c>
      <c r="I96" s="40">
        <v>1.5</v>
      </c>
      <c r="J96" s="40">
        <v>1.5</v>
      </c>
      <c r="K96" s="40">
        <v>1.5</v>
      </c>
      <c r="L96" s="40">
        <v>1.5</v>
      </c>
      <c r="M96" s="40">
        <v>1.5</v>
      </c>
      <c r="N96" s="40">
        <v>1.5</v>
      </c>
      <c r="O96" s="40">
        <v>1.5</v>
      </c>
      <c r="P96" s="40">
        <v>1.5</v>
      </c>
      <c r="Q96" s="40">
        <v>1.5</v>
      </c>
      <c r="R96" s="40">
        <v>1.5</v>
      </c>
      <c r="S96" s="40">
        <v>1.5</v>
      </c>
      <c r="T96" s="40">
        <v>1.5</v>
      </c>
      <c r="U96" s="40">
        <v>1.5</v>
      </c>
      <c r="V96" s="40">
        <v>1.5</v>
      </c>
      <c r="W96" s="40">
        <v>1.5</v>
      </c>
      <c r="X96" s="40">
        <v>1.5</v>
      </c>
      <c r="Y96" s="40">
        <v>1.5</v>
      </c>
      <c r="Z96" s="40">
        <v>1.5</v>
      </c>
      <c r="AA96" s="18">
        <v>0</v>
      </c>
    </row>
    <row r="97" spans="1:28" ht="16.8" x14ac:dyDescent="0.3">
      <c r="A97" s="80"/>
      <c r="B97" s="91" t="s">
        <v>12</v>
      </c>
      <c r="C97" s="92"/>
      <c r="D97" s="93"/>
      <c r="E97" s="69" t="s">
        <v>11</v>
      </c>
      <c r="F97" s="69"/>
      <c r="G97" s="86">
        <f>SUM(H16:H96)</f>
        <v>227</v>
      </c>
      <c r="H97" s="87"/>
      <c r="I97" s="44">
        <f>SUM(I16:I96)</f>
        <v>224</v>
      </c>
      <c r="J97" s="45">
        <f>SUM(J20:J96)</f>
        <v>218.5</v>
      </c>
      <c r="K97" s="45">
        <f>SUM(K23:K96)</f>
        <v>199</v>
      </c>
      <c r="L97" s="45">
        <f>SUM(L26:L96)+M27+M31</f>
        <v>198</v>
      </c>
      <c r="M97" s="44">
        <f>SUM(M34:M96)+N39</f>
        <v>181.5</v>
      </c>
      <c r="N97" s="45">
        <f>SUM(N41:N96)+O42</f>
        <v>165.5</v>
      </c>
      <c r="O97" s="45">
        <f>SUM(O45:O96)</f>
        <v>145.5</v>
      </c>
      <c r="P97" s="45">
        <f>SUM(P48:P96)</f>
        <v>140.5</v>
      </c>
      <c r="Q97" s="45">
        <f>SUM(Q51:Q96)</f>
        <v>121.5</v>
      </c>
      <c r="R97" s="45">
        <f>SUM(R54:R96)</f>
        <v>116.5</v>
      </c>
      <c r="S97" s="45">
        <f>SUM(S60:S96)-T61</f>
        <v>99.5</v>
      </c>
      <c r="T97" s="44">
        <f>SUM(T64:T96)</f>
        <v>81.5</v>
      </c>
      <c r="U97" s="45">
        <f>SUM(U67:U96)-V68</f>
        <v>76</v>
      </c>
      <c r="V97" s="45">
        <f>SUM(V71:V96)</f>
        <v>57.5</v>
      </c>
      <c r="W97" s="45">
        <f>SUM(W74:W96)+X76</f>
        <v>53</v>
      </c>
      <c r="X97" s="45">
        <f>SUM(X81:X96)</f>
        <v>36.5</v>
      </c>
      <c r="Y97" s="45">
        <f>SUM(Y87:Y96)+Z88</f>
        <v>21.5</v>
      </c>
      <c r="Z97" s="45">
        <f>SUM(Z94:Z96)-AA95</f>
        <v>3</v>
      </c>
      <c r="AA97" s="18">
        <v>0</v>
      </c>
    </row>
    <row r="98" spans="1:28" ht="16.8" x14ac:dyDescent="0.3">
      <c r="A98" s="80"/>
      <c r="B98" s="94"/>
      <c r="C98" s="95"/>
      <c r="D98" s="96"/>
      <c r="E98" s="69" t="s">
        <v>25</v>
      </c>
      <c r="F98" s="69"/>
      <c r="G98" s="86">
        <f>SUM(G16:G96)</f>
        <v>225</v>
      </c>
      <c r="H98" s="87"/>
      <c r="I98" s="45">
        <f>SUM(I16:I96)</f>
        <v>224</v>
      </c>
      <c r="J98" s="45">
        <f>SUM(J16:J96)</f>
        <v>218.5</v>
      </c>
      <c r="K98" s="45">
        <f>SUM(K23:K96)</f>
        <v>199</v>
      </c>
      <c r="L98" s="45">
        <f>SUM(L26:L96)</f>
        <v>196.5</v>
      </c>
      <c r="M98" s="45">
        <f>SUM(M34:M96)</f>
        <v>180.5</v>
      </c>
      <c r="N98" s="45">
        <f>SUM(N41:N96)</f>
        <v>164.5</v>
      </c>
      <c r="O98" s="45">
        <f>SUM(O45:O96)</f>
        <v>145.5</v>
      </c>
      <c r="P98" s="45">
        <f>SUM(P48:P96)</f>
        <v>140.5</v>
      </c>
      <c r="Q98" s="45">
        <f>SUM(Q51:Q96)</f>
        <v>121.5</v>
      </c>
      <c r="R98" s="45">
        <f>SUM(R54:R96)</f>
        <v>116.5</v>
      </c>
      <c r="S98" s="45">
        <f>SUM(S60:S96)</f>
        <v>100.5</v>
      </c>
      <c r="T98" s="45">
        <f>SUM(T64:T96)</f>
        <v>81.5</v>
      </c>
      <c r="U98" s="45">
        <f>SUM(U67:U96)</f>
        <v>76.5</v>
      </c>
      <c r="V98" s="45">
        <f>SUM(V71:V96)</f>
        <v>57.5</v>
      </c>
      <c r="W98" s="45">
        <f>SUM(W74:W96)</f>
        <v>52.5</v>
      </c>
      <c r="X98" s="45">
        <f>SUM(X81:X96)</f>
        <v>36.5</v>
      </c>
      <c r="Y98" s="45">
        <f>SUM(Y87:Y96)</f>
        <v>20.5</v>
      </c>
      <c r="Z98" s="45">
        <f>SUM(Z94:Z96)</f>
        <v>4.5</v>
      </c>
      <c r="AA98" s="18">
        <v>0</v>
      </c>
    </row>
    <row r="99" spans="1:28" x14ac:dyDescent="0.3">
      <c r="J99" s="46"/>
    </row>
    <row r="100" spans="1:28" x14ac:dyDescent="0.3">
      <c r="AA100" s="46"/>
      <c r="AB100" s="46"/>
    </row>
    <row r="119" spans="3:4" x14ac:dyDescent="0.3">
      <c r="C119" s="84"/>
      <c r="D119" s="84"/>
    </row>
  </sheetData>
  <mergeCells count="171">
    <mergeCell ref="C36:D36"/>
    <mergeCell ref="E36:F36"/>
    <mergeCell ref="C37:D37"/>
    <mergeCell ref="E37:F37"/>
    <mergeCell ref="C38:D38"/>
    <mergeCell ref="E38:F38"/>
    <mergeCell ref="C40:D40"/>
    <mergeCell ref="E40:F40"/>
    <mergeCell ref="B41:B47"/>
    <mergeCell ref="C41:D41"/>
    <mergeCell ref="E41:F41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A1:B1"/>
    <mergeCell ref="A2:B2"/>
    <mergeCell ref="A3:B3"/>
    <mergeCell ref="A4:B4"/>
    <mergeCell ref="B6:E6"/>
    <mergeCell ref="A16:A98"/>
    <mergeCell ref="E97:F97"/>
    <mergeCell ref="E98:F98"/>
    <mergeCell ref="B97:D98"/>
    <mergeCell ref="B13:C13"/>
    <mergeCell ref="E16:F16"/>
    <mergeCell ref="E19:F19"/>
    <mergeCell ref="C15:D15"/>
    <mergeCell ref="E15:F15"/>
    <mergeCell ref="B16:D16"/>
    <mergeCell ref="B19:D19"/>
    <mergeCell ref="B18:D18"/>
    <mergeCell ref="B94:B96"/>
    <mergeCell ref="C94:D94"/>
    <mergeCell ref="C23:D23"/>
    <mergeCell ref="E23:F23"/>
    <mergeCell ref="C24:D24"/>
    <mergeCell ref="E24:F24"/>
    <mergeCell ref="C25:D25"/>
    <mergeCell ref="E18:F18"/>
    <mergeCell ref="B20:B25"/>
    <mergeCell ref="C20:D20"/>
    <mergeCell ref="E20:F20"/>
    <mergeCell ref="C21:D21"/>
    <mergeCell ref="E21:F21"/>
    <mergeCell ref="C22:D22"/>
    <mergeCell ref="E22:F22"/>
    <mergeCell ref="E17:F17"/>
    <mergeCell ref="B17:D17"/>
    <mergeCell ref="E25:F25"/>
    <mergeCell ref="C119:D119"/>
    <mergeCell ref="E94:F94"/>
    <mergeCell ref="E96:F96"/>
    <mergeCell ref="G97:H97"/>
    <mergeCell ref="G98:H98"/>
    <mergeCell ref="B26:B33"/>
    <mergeCell ref="C26:D26"/>
    <mergeCell ref="E26:F26"/>
    <mergeCell ref="C28:D28"/>
    <mergeCell ref="E28:F28"/>
    <mergeCell ref="C29:D29"/>
    <mergeCell ref="E29:F29"/>
    <mergeCell ref="C30:D30"/>
    <mergeCell ref="E30:F30"/>
    <mergeCell ref="C32:D32"/>
    <mergeCell ref="E32:F32"/>
    <mergeCell ref="C33:D33"/>
    <mergeCell ref="E33:F33"/>
    <mergeCell ref="B34:B40"/>
    <mergeCell ref="C34:D34"/>
    <mergeCell ref="E34:F34"/>
    <mergeCell ref="C96:D96"/>
    <mergeCell ref="C35:D35"/>
    <mergeCell ref="E35:F35"/>
    <mergeCell ref="B48:B53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B60:B66"/>
    <mergeCell ref="C60:D60"/>
    <mergeCell ref="E60:F60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B67:B73"/>
    <mergeCell ref="C67:D67"/>
    <mergeCell ref="E67:F67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B74:B80"/>
    <mergeCell ref="C74:D74"/>
    <mergeCell ref="E74:F74"/>
    <mergeCell ref="C75:D75"/>
    <mergeCell ref="E75:F75"/>
    <mergeCell ref="C77:D77"/>
    <mergeCell ref="E77:F77"/>
    <mergeCell ref="C78:D78"/>
    <mergeCell ref="E78:F78"/>
    <mergeCell ref="C79:D79"/>
    <mergeCell ref="E79:F79"/>
    <mergeCell ref="C80:D80"/>
    <mergeCell ref="E80:F80"/>
    <mergeCell ref="B81:B86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B87:B93"/>
    <mergeCell ref="C87:D87"/>
    <mergeCell ref="E87:F87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B54:B59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6D24-DEEA-4553-85C6-CD3124B96F52}">
  <dimension ref="A1:Z105"/>
  <sheetViews>
    <sheetView tabSelected="1" topLeftCell="A86" zoomScale="70" zoomScaleNormal="70" workbookViewId="0">
      <selection activeCell="O110" sqref="O110"/>
    </sheetView>
  </sheetViews>
  <sheetFormatPr defaultRowHeight="14.4" x14ac:dyDescent="0.3"/>
  <cols>
    <col min="1" max="1" width="11.21875" customWidth="1"/>
    <col min="2" max="2" width="21.21875" customWidth="1"/>
    <col min="3" max="3" width="53.44140625" customWidth="1"/>
    <col min="6" max="6" width="16.5546875" customWidth="1"/>
    <col min="7" max="7" width="7.77734375" customWidth="1"/>
    <col min="8" max="9" width="6.6640625" customWidth="1"/>
    <col min="21" max="21" width="10.44140625" bestFit="1" customWidth="1"/>
  </cols>
  <sheetData>
    <row r="1" spans="1:26" ht="33" customHeight="1" thickBot="1" x14ac:dyDescent="0.35">
      <c r="A1" s="72" t="s">
        <v>3</v>
      </c>
      <c r="B1" s="72"/>
      <c r="C1" s="30" t="s">
        <v>55</v>
      </c>
      <c r="D1" s="1"/>
      <c r="E1" s="7"/>
      <c r="F1" s="8" t="s">
        <v>33</v>
      </c>
    </row>
    <row r="2" spans="1:26" ht="17.399999999999999" thickBot="1" x14ac:dyDescent="0.35">
      <c r="A2" s="72" t="s">
        <v>2</v>
      </c>
      <c r="B2" s="72"/>
      <c r="C2" s="2" t="s">
        <v>186</v>
      </c>
      <c r="D2" s="1"/>
      <c r="E2" s="9"/>
      <c r="F2" s="10" t="s">
        <v>32</v>
      </c>
    </row>
    <row r="3" spans="1:26" ht="17.399999999999999" thickBot="1" x14ac:dyDescent="0.35">
      <c r="A3" s="72" t="s">
        <v>1</v>
      </c>
      <c r="B3" s="72"/>
      <c r="C3" s="3" t="s">
        <v>62</v>
      </c>
      <c r="D3" s="1"/>
      <c r="E3" s="11"/>
      <c r="F3" s="10" t="s">
        <v>31</v>
      </c>
    </row>
    <row r="4" spans="1:26" ht="17.399999999999999" thickBot="1" x14ac:dyDescent="0.35">
      <c r="A4" s="72" t="s">
        <v>0</v>
      </c>
      <c r="B4" s="72"/>
      <c r="C4" s="3">
        <v>46270</v>
      </c>
      <c r="D4" s="1"/>
      <c r="E4" s="12"/>
      <c r="F4" s="10" t="s">
        <v>30</v>
      </c>
    </row>
    <row r="5" spans="1:26" ht="17.399999999999999" thickBot="1" x14ac:dyDescent="0.35">
      <c r="A5" s="1"/>
      <c r="B5" s="1"/>
      <c r="C5" s="1"/>
      <c r="D5" s="1"/>
      <c r="E5" s="13"/>
      <c r="F5" s="14" t="s">
        <v>29</v>
      </c>
    </row>
    <row r="6" spans="1:26" ht="17.399999999999999" thickBot="1" x14ac:dyDescent="0.35">
      <c r="A6" s="1"/>
      <c r="B6" s="89" t="s">
        <v>252</v>
      </c>
      <c r="C6" s="89"/>
      <c r="D6" s="89"/>
      <c r="E6" s="90"/>
    </row>
    <row r="7" spans="1:26" ht="17.399999999999999" thickBot="1" x14ac:dyDescent="0.35">
      <c r="A7" s="1"/>
      <c r="B7" s="5" t="s">
        <v>6</v>
      </c>
      <c r="C7" s="5" t="s">
        <v>26</v>
      </c>
      <c r="D7" s="5" t="s">
        <v>11</v>
      </c>
      <c r="E7" s="5" t="s">
        <v>25</v>
      </c>
    </row>
    <row r="8" spans="1:26" ht="17.399999999999999" thickBot="1" x14ac:dyDescent="0.35">
      <c r="A8" s="1"/>
      <c r="B8" s="6">
        <v>1</v>
      </c>
      <c r="C8" s="2" t="s">
        <v>50</v>
      </c>
      <c r="D8" s="2">
        <f>ROUND((SUMIF($E$16:$E$300,"*Toàn*",$H$16:$H$300) + SUMIF(E$16:$E$300,"Toàn",$H$16:$H$300))/2 + SUMIF($E$16:$E$300,"All Team",$H$16:$H$300)/5, 2)</f>
        <v>75.05</v>
      </c>
      <c r="E8" s="2">
        <f>ROUND((SUMIF($E$16:$E$300,"*Toàn*",$G$16:$G$300) + SUMIF($E$16:E$300,"Toàn",$G$16:$G$300))/2 + SUMIF($E$16:$E$300,"All Team",$G$16:$G$300)/5, 2)</f>
        <v>74.55</v>
      </c>
    </row>
    <row r="9" spans="1:26" ht="17.399999999999999" thickBot="1" x14ac:dyDescent="0.35">
      <c r="A9" s="1"/>
      <c r="B9" s="6">
        <v>2</v>
      </c>
      <c r="C9" s="2" t="s">
        <v>51</v>
      </c>
      <c r="D9" s="2">
        <f>ROUND((SUMIF($E$16:$E$300,"*Phú*",$H$16:$H$300) + SUMIF(E$16:$E$300,"Phú",$H$16:$H$300))/2 + SUMIF($E$16:$E$300,"All Team",$H$16:$H$300)/5, 2)</f>
        <v>40.299999999999997</v>
      </c>
      <c r="E9" s="2">
        <f>ROUND((SUMIF($E$16:$E$300,"*Phú*",$G$16:$G$300) + SUMIF($E$16:E$300,"Phú",$G$16:$G$300))/2 + SUMIF($E$16:$E$300,"All Team",$G$16:$G$300)/5, 2)</f>
        <v>39.299999999999997</v>
      </c>
      <c r="H9" s="1"/>
      <c r="J9" s="1"/>
    </row>
    <row r="10" spans="1:26" ht="17.399999999999999" thickBot="1" x14ac:dyDescent="0.35">
      <c r="A10" s="1"/>
      <c r="B10" s="6">
        <v>3</v>
      </c>
      <c r="C10" s="2" t="s">
        <v>52</v>
      </c>
      <c r="D10" s="2">
        <f>ROUND((SUMIF($E$16:$E$300,"*Tú*",$H$16:$H$300) + SUMIF(E$16:$E$300,"Tú",$H$16:$H$300))/2 + SUMIF($E$16:$E$300,"All Team",$H$16:$H$300)/5, 2)</f>
        <v>41.8</v>
      </c>
      <c r="E10" s="2">
        <f>ROUND((SUMIF($E$16:$E$300,"*Tú*",$G$16:$G$300) + SUMIF($E$16:E$300,"Tú",$G$16:$G$300))/2 + SUMIF($E$16:$E$300,"All Team",$G$16:$G$300)/5, 2)</f>
        <v>35.799999999999997</v>
      </c>
    </row>
    <row r="11" spans="1:26" ht="17.399999999999999" thickBot="1" x14ac:dyDescent="0.35">
      <c r="A11" s="1"/>
      <c r="B11" s="6">
        <v>4</v>
      </c>
      <c r="C11" s="2" t="s">
        <v>53</v>
      </c>
      <c r="D11" s="2">
        <f>ROUND((SUMIF($E$16:$E$300,"*Uyên*",$H$16:$H$300) + SUMIF(E$16:$E$300,"Uyên",$H$16:$H$300))/2 + SUMIF($E$16:$E$300,"All Team",$H$16:$H$300)/5, 2)</f>
        <v>37.049999999999997</v>
      </c>
      <c r="E11" s="2">
        <f>ROUND((SUMIF($E$16:$E$300,"*Uyên*",$G$16:$G$300) + SUMIF($E$16:E$300,"Uyên",$G$16:$G$300))/2 + SUMIF($E$16:$E$300,"All Team",$G$16:$G$300)/5, 2)</f>
        <v>33.549999999999997</v>
      </c>
    </row>
    <row r="12" spans="1:26" ht="17.399999999999999" thickBot="1" x14ac:dyDescent="0.35">
      <c r="A12" s="1"/>
      <c r="B12" s="6">
        <v>5</v>
      </c>
      <c r="C12" s="2" t="s">
        <v>54</v>
      </c>
      <c r="D12" s="2">
        <f>ROUND((SUMIF($E$16:$E$300,"*Hưng*",$H$16:$H$300) + SUMIF(E$16:$E$300,"Hưng",$H$16:$H$300))/2 + SUMIF($E$16:$E$300,"All Team",$H$16:$H$300)/5, 2)</f>
        <v>44.8</v>
      </c>
      <c r="E12" s="2">
        <f>ROUND((SUMIF($E$16:$E$300,"*Hưng*",$G$16:$G$300) + SUMIF($E$16:E$300,"Hưng",$G$16:$G$300))/2 + SUMIF($E$16:$E$300,"All Team",$G$16:$G$300)/5, 2)</f>
        <v>41.8</v>
      </c>
    </row>
    <row r="13" spans="1:26" ht="17.399999999999999" thickBot="1" x14ac:dyDescent="0.35">
      <c r="A13" s="1"/>
      <c r="B13" s="73" t="s">
        <v>12</v>
      </c>
      <c r="C13" s="73"/>
      <c r="D13" s="4">
        <f>SUM(D8:D12)</f>
        <v>239</v>
      </c>
      <c r="E13" s="4">
        <f>SUM(E8:E12)</f>
        <v>225</v>
      </c>
    </row>
    <row r="15" spans="1:26" ht="55.2" x14ac:dyDescent="0.3">
      <c r="A15" s="19" t="s">
        <v>7</v>
      </c>
      <c r="B15" s="19" t="s">
        <v>8</v>
      </c>
      <c r="C15" s="97" t="s">
        <v>9</v>
      </c>
      <c r="D15" s="97"/>
      <c r="E15" s="97" t="s">
        <v>10</v>
      </c>
      <c r="F15" s="97"/>
      <c r="G15" s="17" t="s">
        <v>25</v>
      </c>
      <c r="H15" s="17" t="s">
        <v>11</v>
      </c>
      <c r="I15" s="17">
        <v>46135</v>
      </c>
      <c r="J15" s="17">
        <v>46136</v>
      </c>
      <c r="K15" s="17">
        <v>46137</v>
      </c>
      <c r="L15" s="17">
        <v>46138</v>
      </c>
      <c r="M15" s="17">
        <v>46139</v>
      </c>
      <c r="N15" s="17">
        <v>46140</v>
      </c>
      <c r="O15" s="17">
        <v>46141</v>
      </c>
      <c r="P15" s="17">
        <v>46142</v>
      </c>
      <c r="Q15" s="17">
        <v>46143</v>
      </c>
      <c r="R15" s="17">
        <v>46144</v>
      </c>
      <c r="S15" s="17">
        <v>46145</v>
      </c>
      <c r="T15" s="17">
        <v>46146</v>
      </c>
      <c r="U15" s="17">
        <v>46147</v>
      </c>
      <c r="V15" s="17">
        <v>46148</v>
      </c>
      <c r="W15" s="17">
        <v>46149</v>
      </c>
      <c r="X15" s="17">
        <v>46150</v>
      </c>
      <c r="Y15" s="17">
        <v>46151</v>
      </c>
      <c r="Z15" s="17">
        <v>46152</v>
      </c>
    </row>
    <row r="16" spans="1:26" ht="16.8" x14ac:dyDescent="0.3">
      <c r="A16" s="80" t="s">
        <v>186</v>
      </c>
      <c r="B16" s="88" t="s">
        <v>13</v>
      </c>
      <c r="C16" s="88"/>
      <c r="D16" s="88"/>
      <c r="E16" s="85" t="s">
        <v>24</v>
      </c>
      <c r="F16" s="85"/>
      <c r="G16" s="40">
        <v>1.5</v>
      </c>
      <c r="H16" s="40">
        <v>1.5</v>
      </c>
      <c r="I16" s="40">
        <v>1.5</v>
      </c>
      <c r="J16" s="18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</row>
    <row r="17" spans="1:26" ht="16.8" x14ac:dyDescent="0.3">
      <c r="A17" s="80"/>
      <c r="B17" s="61" t="s">
        <v>187</v>
      </c>
      <c r="C17" s="70"/>
      <c r="D17" s="62"/>
      <c r="E17" s="78" t="s">
        <v>40</v>
      </c>
      <c r="F17" s="79"/>
      <c r="G17" s="40">
        <v>1.5</v>
      </c>
      <c r="H17" s="40">
        <v>1.5</v>
      </c>
      <c r="I17" s="40">
        <v>1.5</v>
      </c>
      <c r="J17" s="18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</row>
    <row r="18" spans="1:26" ht="16.8" x14ac:dyDescent="0.3">
      <c r="A18" s="80"/>
      <c r="B18" s="61" t="s">
        <v>188</v>
      </c>
      <c r="C18" s="70"/>
      <c r="D18" s="62"/>
      <c r="E18" s="78" t="s">
        <v>40</v>
      </c>
      <c r="F18" s="79"/>
      <c r="G18" s="41">
        <v>1</v>
      </c>
      <c r="H18" s="41">
        <v>1</v>
      </c>
      <c r="I18" s="41">
        <v>1</v>
      </c>
      <c r="J18" s="18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</row>
    <row r="19" spans="1:26" ht="16.8" x14ac:dyDescent="0.3">
      <c r="A19" s="80"/>
      <c r="B19" s="88" t="s">
        <v>189</v>
      </c>
      <c r="C19" s="88"/>
      <c r="D19" s="61"/>
      <c r="E19" s="85" t="s">
        <v>24</v>
      </c>
      <c r="F19" s="85"/>
      <c r="G19" s="41">
        <v>0.5</v>
      </c>
      <c r="H19" s="41">
        <v>0.5</v>
      </c>
      <c r="I19" s="41">
        <v>0.5</v>
      </c>
      <c r="J19" s="18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</row>
    <row r="20" spans="1:26" ht="16.8" customHeight="1" x14ac:dyDescent="0.3">
      <c r="A20" s="80"/>
      <c r="B20" s="58" t="s">
        <v>190</v>
      </c>
      <c r="C20" s="61" t="s">
        <v>201</v>
      </c>
      <c r="D20" s="62" t="s">
        <v>201</v>
      </c>
      <c r="E20" s="65" t="s">
        <v>45</v>
      </c>
      <c r="F20" s="66" t="s">
        <v>45</v>
      </c>
      <c r="G20" s="41">
        <v>3</v>
      </c>
      <c r="H20" s="41">
        <v>3</v>
      </c>
      <c r="I20" s="41">
        <v>3</v>
      </c>
      <c r="J20" s="41">
        <v>3</v>
      </c>
      <c r="K20" s="18">
        <v>0</v>
      </c>
      <c r="L20" s="40">
        <v>0</v>
      </c>
      <c r="M20" s="38">
        <v>0</v>
      </c>
      <c r="N20" s="38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</row>
    <row r="21" spans="1:26" ht="16.8" customHeight="1" x14ac:dyDescent="0.3">
      <c r="A21" s="80"/>
      <c r="B21" s="60"/>
      <c r="C21" s="61" t="s">
        <v>202</v>
      </c>
      <c r="D21" s="62" t="s">
        <v>202</v>
      </c>
      <c r="E21" s="65" t="s">
        <v>35</v>
      </c>
      <c r="F21" s="66" t="s">
        <v>35</v>
      </c>
      <c r="G21" s="41">
        <v>14</v>
      </c>
      <c r="H21" s="41">
        <v>14</v>
      </c>
      <c r="I21" s="41">
        <v>14</v>
      </c>
      <c r="J21" s="41">
        <v>14</v>
      </c>
      <c r="K21" s="18">
        <v>0</v>
      </c>
      <c r="L21" s="40">
        <v>0</v>
      </c>
      <c r="M21" s="38">
        <v>0</v>
      </c>
      <c r="N21" s="38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</row>
    <row r="22" spans="1:26" ht="16.8" x14ac:dyDescent="0.3">
      <c r="A22" s="80"/>
      <c r="B22" s="60"/>
      <c r="C22" s="61" t="s">
        <v>203</v>
      </c>
      <c r="D22" s="62" t="s">
        <v>203</v>
      </c>
      <c r="E22" s="65" t="s">
        <v>38</v>
      </c>
      <c r="F22" s="66" t="s">
        <v>38</v>
      </c>
      <c r="G22" s="41">
        <v>2</v>
      </c>
      <c r="H22" s="41">
        <v>2</v>
      </c>
      <c r="I22" s="41">
        <v>2</v>
      </c>
      <c r="J22" s="41">
        <v>2</v>
      </c>
      <c r="K22" s="18">
        <v>0</v>
      </c>
      <c r="L22" s="40">
        <v>0</v>
      </c>
      <c r="M22" s="38">
        <v>0</v>
      </c>
      <c r="N22" s="38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</row>
    <row r="23" spans="1:26" ht="16.8" x14ac:dyDescent="0.3">
      <c r="A23" s="80"/>
      <c r="B23" s="60"/>
      <c r="C23" s="61" t="s">
        <v>204</v>
      </c>
      <c r="D23" s="62" t="s">
        <v>204</v>
      </c>
      <c r="E23" s="65" t="s">
        <v>36</v>
      </c>
      <c r="F23" s="66" t="s">
        <v>36</v>
      </c>
      <c r="G23" s="41">
        <v>2</v>
      </c>
      <c r="H23" s="41">
        <v>2</v>
      </c>
      <c r="I23" s="41">
        <v>2</v>
      </c>
      <c r="J23" s="41">
        <v>2</v>
      </c>
      <c r="K23" s="41">
        <v>2</v>
      </c>
      <c r="L23" s="18">
        <v>0</v>
      </c>
      <c r="M23" s="38">
        <v>0</v>
      </c>
      <c r="N23" s="38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</row>
    <row r="24" spans="1:26" ht="16.8" customHeight="1" x14ac:dyDescent="0.3">
      <c r="A24" s="80"/>
      <c r="B24" s="60"/>
      <c r="C24" s="61" t="s">
        <v>68</v>
      </c>
      <c r="D24" s="62" t="s">
        <v>68</v>
      </c>
      <c r="E24" s="65" t="s">
        <v>35</v>
      </c>
      <c r="F24" s="66" t="s">
        <v>35</v>
      </c>
      <c r="G24" s="41">
        <v>2</v>
      </c>
      <c r="H24" s="41">
        <v>2</v>
      </c>
      <c r="I24" s="41">
        <v>2</v>
      </c>
      <c r="J24" s="41">
        <v>2</v>
      </c>
      <c r="K24" s="41">
        <v>2</v>
      </c>
      <c r="L24" s="18">
        <v>0</v>
      </c>
      <c r="M24" s="38">
        <v>0</v>
      </c>
      <c r="N24" s="38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</row>
    <row r="25" spans="1:26" ht="16.8" x14ac:dyDescent="0.3">
      <c r="A25" s="80"/>
      <c r="B25" s="59"/>
      <c r="C25" s="61" t="s">
        <v>69</v>
      </c>
      <c r="D25" s="62" t="s">
        <v>69</v>
      </c>
      <c r="E25" s="65" t="s">
        <v>38</v>
      </c>
      <c r="F25" s="66" t="s">
        <v>38</v>
      </c>
      <c r="G25" s="41">
        <v>1</v>
      </c>
      <c r="H25" s="41">
        <v>1</v>
      </c>
      <c r="I25" s="41">
        <v>1</v>
      </c>
      <c r="J25" s="41">
        <v>1</v>
      </c>
      <c r="K25" s="41">
        <v>1</v>
      </c>
      <c r="L25" s="18">
        <v>0</v>
      </c>
      <c r="M25" s="38">
        <v>0</v>
      </c>
      <c r="N25" s="38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</row>
    <row r="26" spans="1:26" ht="16.8" customHeight="1" x14ac:dyDescent="0.3">
      <c r="A26" s="80"/>
      <c r="B26" s="58" t="s">
        <v>191</v>
      </c>
      <c r="C26" s="61" t="s">
        <v>205</v>
      </c>
      <c r="D26" s="62"/>
      <c r="E26" s="65" t="s">
        <v>44</v>
      </c>
      <c r="F26" s="66" t="s">
        <v>44</v>
      </c>
      <c r="G26" s="41">
        <v>2.5</v>
      </c>
      <c r="H26" s="41">
        <v>4.5</v>
      </c>
      <c r="I26" s="41">
        <v>2.5</v>
      </c>
      <c r="J26" s="41">
        <v>2.5</v>
      </c>
      <c r="K26" s="41">
        <v>2.5</v>
      </c>
      <c r="L26" s="41">
        <v>2.5</v>
      </c>
      <c r="M26" s="18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</row>
    <row r="27" spans="1:26" ht="16.8" customHeight="1" x14ac:dyDescent="0.3">
      <c r="A27" s="80"/>
      <c r="B27" s="60"/>
      <c r="C27" s="47"/>
      <c r="D27" s="48"/>
      <c r="E27" s="51"/>
      <c r="F27" s="52"/>
      <c r="G27" s="41"/>
      <c r="H27" s="41"/>
      <c r="I27" s="41"/>
      <c r="J27" s="41"/>
      <c r="K27" s="41"/>
      <c r="L27" s="41"/>
      <c r="M27" s="42">
        <v>2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6.8" customHeight="1" x14ac:dyDescent="0.3">
      <c r="A28" s="80"/>
      <c r="B28" s="60"/>
      <c r="C28" s="61" t="s">
        <v>206</v>
      </c>
      <c r="D28" s="62" t="s">
        <v>206</v>
      </c>
      <c r="E28" s="65" t="s">
        <v>43</v>
      </c>
      <c r="F28" s="66" t="s">
        <v>43</v>
      </c>
      <c r="G28" s="41">
        <v>9</v>
      </c>
      <c r="H28" s="41">
        <v>9</v>
      </c>
      <c r="I28" s="41">
        <v>9</v>
      </c>
      <c r="J28" s="41">
        <v>9</v>
      </c>
      <c r="K28" s="41">
        <v>9</v>
      </c>
      <c r="L28" s="41">
        <v>9</v>
      </c>
      <c r="M28" s="18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</row>
    <row r="29" spans="1:26" ht="16.8" x14ac:dyDescent="0.3">
      <c r="A29" s="80"/>
      <c r="B29" s="60"/>
      <c r="C29" s="61" t="s">
        <v>207</v>
      </c>
      <c r="D29" s="62" t="s">
        <v>207</v>
      </c>
      <c r="E29" s="65" t="s">
        <v>39</v>
      </c>
      <c r="F29" s="66" t="s">
        <v>39</v>
      </c>
      <c r="G29" s="41">
        <v>1</v>
      </c>
      <c r="H29" s="41">
        <v>1</v>
      </c>
      <c r="I29" s="41">
        <v>1</v>
      </c>
      <c r="J29" s="41">
        <v>1</v>
      </c>
      <c r="K29" s="41">
        <v>1</v>
      </c>
      <c r="L29" s="41">
        <v>1</v>
      </c>
      <c r="M29" s="18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</row>
    <row r="30" spans="1:26" ht="16.8" x14ac:dyDescent="0.3">
      <c r="A30" s="80"/>
      <c r="B30" s="60"/>
      <c r="C30" s="61" t="s">
        <v>208</v>
      </c>
      <c r="D30" s="62" t="s">
        <v>208</v>
      </c>
      <c r="E30" s="65" t="s">
        <v>37</v>
      </c>
      <c r="F30" s="66" t="s">
        <v>37</v>
      </c>
      <c r="G30" s="41">
        <v>1</v>
      </c>
      <c r="H30" s="41">
        <v>2</v>
      </c>
      <c r="I30" s="41">
        <v>1</v>
      </c>
      <c r="J30" s="41">
        <v>1</v>
      </c>
      <c r="K30" s="41">
        <v>1</v>
      </c>
      <c r="L30" s="41">
        <v>1</v>
      </c>
      <c r="M30" s="18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</row>
    <row r="31" spans="1:26" ht="16.8" x14ac:dyDescent="0.3">
      <c r="A31" s="80"/>
      <c r="B31" s="60"/>
      <c r="C31" s="47"/>
      <c r="D31" s="48"/>
      <c r="E31" s="51"/>
      <c r="F31" s="52"/>
      <c r="G31" s="41"/>
      <c r="H31" s="41"/>
      <c r="I31" s="41"/>
      <c r="J31" s="41"/>
      <c r="K31" s="41"/>
      <c r="L31" s="41"/>
      <c r="M31" s="42">
        <v>1</v>
      </c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6.8" customHeight="1" x14ac:dyDescent="0.3">
      <c r="A32" s="80"/>
      <c r="B32" s="60"/>
      <c r="C32" s="61" t="s">
        <v>68</v>
      </c>
      <c r="D32" s="62" t="s">
        <v>68</v>
      </c>
      <c r="E32" s="65" t="s">
        <v>43</v>
      </c>
      <c r="F32" s="66" t="s">
        <v>43</v>
      </c>
      <c r="G32" s="41">
        <v>1.5</v>
      </c>
      <c r="H32" s="41">
        <v>1.5</v>
      </c>
      <c r="I32" s="41">
        <v>1.5</v>
      </c>
      <c r="J32" s="41">
        <v>1.5</v>
      </c>
      <c r="K32" s="41">
        <v>1.5</v>
      </c>
      <c r="L32" s="41">
        <v>1.5</v>
      </c>
      <c r="M32" s="18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</row>
    <row r="33" spans="1:26" ht="16.8" x14ac:dyDescent="0.3">
      <c r="A33" s="80"/>
      <c r="B33" s="59"/>
      <c r="C33" s="61" t="s">
        <v>69</v>
      </c>
      <c r="D33" s="62" t="s">
        <v>69</v>
      </c>
      <c r="E33" s="65" t="s">
        <v>38</v>
      </c>
      <c r="F33" s="66" t="s">
        <v>38</v>
      </c>
      <c r="G33" s="41">
        <v>1</v>
      </c>
      <c r="H33" s="41">
        <v>1</v>
      </c>
      <c r="I33" s="41">
        <v>1</v>
      </c>
      <c r="J33" s="41">
        <v>1</v>
      </c>
      <c r="K33" s="41">
        <v>1</v>
      </c>
      <c r="L33" s="41">
        <v>1</v>
      </c>
      <c r="M33" s="18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</row>
    <row r="34" spans="1:26" ht="16.8" customHeight="1" x14ac:dyDescent="0.3">
      <c r="A34" s="80"/>
      <c r="B34" s="58" t="s">
        <v>192</v>
      </c>
      <c r="C34" s="61" t="s">
        <v>209</v>
      </c>
      <c r="D34" s="62" t="s">
        <v>209</v>
      </c>
      <c r="E34" s="65" t="s">
        <v>45</v>
      </c>
      <c r="F34" s="66" t="s">
        <v>45</v>
      </c>
      <c r="G34" s="41">
        <v>3</v>
      </c>
      <c r="H34" s="41">
        <v>3</v>
      </c>
      <c r="I34" s="41">
        <v>3</v>
      </c>
      <c r="J34" s="41">
        <v>3</v>
      </c>
      <c r="K34" s="41">
        <v>3</v>
      </c>
      <c r="L34" s="41">
        <v>3</v>
      </c>
      <c r="M34" s="41">
        <v>3</v>
      </c>
      <c r="N34" s="18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</row>
    <row r="35" spans="1:26" ht="16.8" x14ac:dyDescent="0.3">
      <c r="A35" s="80"/>
      <c r="B35" s="60"/>
      <c r="C35" s="61" t="s">
        <v>210</v>
      </c>
      <c r="D35" s="62" t="s">
        <v>210</v>
      </c>
      <c r="E35" s="65" t="s">
        <v>46</v>
      </c>
      <c r="F35" s="66" t="s">
        <v>46</v>
      </c>
      <c r="G35" s="41">
        <v>14</v>
      </c>
      <c r="H35" s="41">
        <v>14</v>
      </c>
      <c r="I35" s="41">
        <v>14</v>
      </c>
      <c r="J35" s="41">
        <v>14</v>
      </c>
      <c r="K35" s="41">
        <v>14</v>
      </c>
      <c r="L35" s="41">
        <v>14</v>
      </c>
      <c r="M35" s="41">
        <v>14</v>
      </c>
      <c r="N35" s="18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</row>
    <row r="36" spans="1:26" ht="16.8" x14ac:dyDescent="0.3">
      <c r="A36" s="80"/>
      <c r="B36" s="60"/>
      <c r="C36" s="61" t="s">
        <v>211</v>
      </c>
      <c r="D36" s="62" t="s">
        <v>211</v>
      </c>
      <c r="E36" s="65" t="s">
        <v>36</v>
      </c>
      <c r="F36" s="66" t="s">
        <v>36</v>
      </c>
      <c r="G36" s="41">
        <v>2</v>
      </c>
      <c r="H36" s="41">
        <v>2</v>
      </c>
      <c r="I36" s="41">
        <v>2</v>
      </c>
      <c r="J36" s="41">
        <v>2</v>
      </c>
      <c r="K36" s="41">
        <v>2</v>
      </c>
      <c r="L36" s="41">
        <v>2</v>
      </c>
      <c r="M36" s="41">
        <v>2</v>
      </c>
      <c r="N36" s="18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</row>
    <row r="37" spans="1:26" ht="16.8" x14ac:dyDescent="0.3">
      <c r="A37" s="80"/>
      <c r="B37" s="60"/>
      <c r="C37" s="61" t="s">
        <v>212</v>
      </c>
      <c r="D37" s="62" t="s">
        <v>212</v>
      </c>
      <c r="E37" s="65" t="s">
        <v>39</v>
      </c>
      <c r="F37" s="66" t="s">
        <v>39</v>
      </c>
      <c r="G37" s="41">
        <v>2</v>
      </c>
      <c r="H37" s="41">
        <v>2</v>
      </c>
      <c r="I37" s="41">
        <v>2</v>
      </c>
      <c r="J37" s="41">
        <v>2</v>
      </c>
      <c r="K37" s="41">
        <v>2</v>
      </c>
      <c r="L37" s="41">
        <v>2</v>
      </c>
      <c r="M37" s="41">
        <v>2</v>
      </c>
      <c r="N37" s="41">
        <v>2</v>
      </c>
      <c r="O37" s="18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</row>
    <row r="38" spans="1:26" ht="16.8" x14ac:dyDescent="0.3">
      <c r="A38" s="80"/>
      <c r="B38" s="60"/>
      <c r="C38" s="61" t="s">
        <v>68</v>
      </c>
      <c r="D38" s="62" t="s">
        <v>68</v>
      </c>
      <c r="E38" s="65" t="s">
        <v>46</v>
      </c>
      <c r="F38" s="66" t="s">
        <v>46</v>
      </c>
      <c r="G38" s="41">
        <v>2</v>
      </c>
      <c r="H38" s="41">
        <v>2</v>
      </c>
      <c r="I38" s="41">
        <v>2</v>
      </c>
      <c r="J38" s="41">
        <v>2</v>
      </c>
      <c r="K38" s="41">
        <v>2</v>
      </c>
      <c r="L38" s="41">
        <v>2</v>
      </c>
      <c r="M38" s="41">
        <v>2</v>
      </c>
      <c r="N38" s="41">
        <v>2</v>
      </c>
      <c r="O38" s="18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</row>
    <row r="39" spans="1:26" ht="16.8" x14ac:dyDescent="0.3">
      <c r="A39" s="80"/>
      <c r="B39" s="59"/>
      <c r="C39" s="61" t="s">
        <v>69</v>
      </c>
      <c r="D39" s="62" t="s">
        <v>69</v>
      </c>
      <c r="E39" s="65" t="s">
        <v>36</v>
      </c>
      <c r="F39" s="66" t="s">
        <v>36</v>
      </c>
      <c r="G39" s="41">
        <v>1</v>
      </c>
      <c r="H39" s="41">
        <v>1</v>
      </c>
      <c r="I39" s="41">
        <v>1</v>
      </c>
      <c r="J39" s="41">
        <v>1</v>
      </c>
      <c r="K39" s="41">
        <v>1</v>
      </c>
      <c r="L39" s="41">
        <v>1</v>
      </c>
      <c r="M39" s="41">
        <v>1</v>
      </c>
      <c r="N39" s="41">
        <v>1</v>
      </c>
      <c r="O39" s="18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</row>
    <row r="40" spans="1:26" ht="16.8" customHeight="1" x14ac:dyDescent="0.3">
      <c r="A40" s="80"/>
      <c r="B40" s="58" t="s">
        <v>193</v>
      </c>
      <c r="C40" s="61" t="s">
        <v>213</v>
      </c>
      <c r="D40" s="62" t="s">
        <v>213</v>
      </c>
      <c r="E40" s="65" t="s">
        <v>44</v>
      </c>
      <c r="F40" s="66" t="s">
        <v>44</v>
      </c>
      <c r="G40" s="41">
        <v>2.5</v>
      </c>
      <c r="H40" s="41">
        <v>3.5</v>
      </c>
      <c r="I40" s="41">
        <v>2.5</v>
      </c>
      <c r="J40" s="41">
        <v>2.5</v>
      </c>
      <c r="K40" s="41">
        <v>2.5</v>
      </c>
      <c r="L40" s="41">
        <v>2.5</v>
      </c>
      <c r="M40" s="41">
        <v>2.5</v>
      </c>
      <c r="N40" s="41">
        <v>2.5</v>
      </c>
      <c r="O40" s="41">
        <v>2.5</v>
      </c>
      <c r="P40" s="18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</row>
    <row r="41" spans="1:26" ht="16.8" customHeight="1" x14ac:dyDescent="0.3">
      <c r="A41" s="80"/>
      <c r="B41" s="60"/>
      <c r="C41" s="47"/>
      <c r="D41" s="48"/>
      <c r="E41" s="51"/>
      <c r="F41" s="52"/>
      <c r="G41" s="41"/>
      <c r="H41" s="41"/>
      <c r="I41" s="41"/>
      <c r="J41" s="41"/>
      <c r="K41" s="41"/>
      <c r="L41" s="41"/>
      <c r="M41" s="41"/>
      <c r="N41" s="41"/>
      <c r="O41" s="41"/>
      <c r="P41" s="42">
        <v>1</v>
      </c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6.8" customHeight="1" x14ac:dyDescent="0.3">
      <c r="A42" s="80"/>
      <c r="B42" s="60"/>
      <c r="C42" s="61" t="s">
        <v>214</v>
      </c>
      <c r="D42" s="62" t="s">
        <v>214</v>
      </c>
      <c r="E42" s="65" t="s">
        <v>48</v>
      </c>
      <c r="F42" s="66" t="s">
        <v>48</v>
      </c>
      <c r="G42" s="41">
        <v>9</v>
      </c>
      <c r="H42" s="41">
        <v>11</v>
      </c>
      <c r="I42" s="41">
        <v>9</v>
      </c>
      <c r="J42" s="41">
        <v>9</v>
      </c>
      <c r="K42" s="41">
        <v>9</v>
      </c>
      <c r="L42" s="41">
        <v>9</v>
      </c>
      <c r="M42" s="41">
        <v>9</v>
      </c>
      <c r="N42" s="41">
        <v>9</v>
      </c>
      <c r="O42" s="41">
        <v>9</v>
      </c>
      <c r="P42" s="18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</row>
    <row r="43" spans="1:26" ht="16.8" customHeight="1" x14ac:dyDescent="0.3">
      <c r="A43" s="80"/>
      <c r="B43" s="60"/>
      <c r="C43" s="47"/>
      <c r="D43" s="48"/>
      <c r="E43" s="51"/>
      <c r="F43" s="52"/>
      <c r="G43" s="41"/>
      <c r="H43" s="41"/>
      <c r="I43" s="41"/>
      <c r="J43" s="41"/>
      <c r="K43" s="41"/>
      <c r="L43" s="41"/>
      <c r="M43" s="41"/>
      <c r="N43" s="41"/>
      <c r="O43" s="41"/>
      <c r="P43" s="42">
        <v>2</v>
      </c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6.8" x14ac:dyDescent="0.3">
      <c r="A44" s="80"/>
      <c r="B44" s="60"/>
      <c r="C44" s="61" t="s">
        <v>215</v>
      </c>
      <c r="D44" s="62" t="s">
        <v>215</v>
      </c>
      <c r="E44" s="65" t="s">
        <v>35</v>
      </c>
      <c r="F44" s="66" t="s">
        <v>35</v>
      </c>
      <c r="G44" s="41">
        <v>1</v>
      </c>
      <c r="H44" s="41">
        <v>1</v>
      </c>
      <c r="I44" s="41">
        <v>1</v>
      </c>
      <c r="J44" s="41">
        <v>1</v>
      </c>
      <c r="K44" s="41">
        <v>1</v>
      </c>
      <c r="L44" s="41">
        <v>1</v>
      </c>
      <c r="M44" s="41">
        <v>1</v>
      </c>
      <c r="N44" s="41">
        <v>1</v>
      </c>
      <c r="O44" s="41">
        <v>1</v>
      </c>
      <c r="P44" s="18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</row>
    <row r="45" spans="1:26" ht="16.8" x14ac:dyDescent="0.3">
      <c r="A45" s="80"/>
      <c r="B45" s="60"/>
      <c r="C45" s="61" t="s">
        <v>216</v>
      </c>
      <c r="D45" s="62" t="s">
        <v>216</v>
      </c>
      <c r="E45" s="65" t="s">
        <v>37</v>
      </c>
      <c r="F45" s="66" t="s">
        <v>37</v>
      </c>
      <c r="G45" s="41">
        <v>1</v>
      </c>
      <c r="H45" s="41">
        <v>1</v>
      </c>
      <c r="I45" s="41">
        <v>1</v>
      </c>
      <c r="J45" s="41">
        <v>1</v>
      </c>
      <c r="K45" s="41">
        <v>1</v>
      </c>
      <c r="L45" s="41">
        <v>1</v>
      </c>
      <c r="M45" s="41">
        <v>1</v>
      </c>
      <c r="N45" s="41">
        <v>1</v>
      </c>
      <c r="O45" s="41">
        <v>1</v>
      </c>
      <c r="P45" s="18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</row>
    <row r="46" spans="1:26" ht="16.8" customHeight="1" x14ac:dyDescent="0.3">
      <c r="A46" s="80"/>
      <c r="B46" s="60"/>
      <c r="C46" s="61" t="s">
        <v>68</v>
      </c>
      <c r="D46" s="62" t="s">
        <v>68</v>
      </c>
      <c r="E46" s="65" t="s">
        <v>48</v>
      </c>
      <c r="F46" s="66" t="s">
        <v>48</v>
      </c>
      <c r="G46" s="41">
        <v>1.5</v>
      </c>
      <c r="H46" s="41">
        <v>1.5</v>
      </c>
      <c r="I46" s="41">
        <v>1.5</v>
      </c>
      <c r="J46" s="41">
        <v>1.5</v>
      </c>
      <c r="K46" s="41">
        <v>1.5</v>
      </c>
      <c r="L46" s="41">
        <v>1.5</v>
      </c>
      <c r="M46" s="41">
        <v>1.5</v>
      </c>
      <c r="N46" s="41">
        <v>1.5</v>
      </c>
      <c r="O46" s="41">
        <v>1.5</v>
      </c>
      <c r="P46" s="18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</row>
    <row r="47" spans="1:26" ht="16.8" x14ac:dyDescent="0.3">
      <c r="A47" s="80"/>
      <c r="B47" s="59"/>
      <c r="C47" s="61" t="s">
        <v>69</v>
      </c>
      <c r="D47" s="62" t="s">
        <v>69</v>
      </c>
      <c r="E47" s="65" t="s">
        <v>38</v>
      </c>
      <c r="F47" s="66" t="s">
        <v>38</v>
      </c>
      <c r="G47" s="41">
        <v>1</v>
      </c>
      <c r="H47" s="41">
        <v>1</v>
      </c>
      <c r="I47" s="41">
        <v>1</v>
      </c>
      <c r="J47" s="41">
        <v>1</v>
      </c>
      <c r="K47" s="41">
        <v>1</v>
      </c>
      <c r="L47" s="41">
        <v>1</v>
      </c>
      <c r="M47" s="41">
        <v>1</v>
      </c>
      <c r="N47" s="41">
        <v>1</v>
      </c>
      <c r="O47" s="41">
        <v>1</v>
      </c>
      <c r="P47" s="18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</row>
    <row r="48" spans="1:26" ht="16.8" customHeight="1" x14ac:dyDescent="0.3">
      <c r="A48" s="80"/>
      <c r="B48" s="58" t="s">
        <v>194</v>
      </c>
      <c r="C48" s="61" t="s">
        <v>217</v>
      </c>
      <c r="D48" s="62" t="s">
        <v>217</v>
      </c>
      <c r="E48" s="65" t="s">
        <v>253</v>
      </c>
      <c r="F48" s="66" t="s">
        <v>45</v>
      </c>
      <c r="G48" s="41">
        <v>2.5</v>
      </c>
      <c r="H48" s="41">
        <v>2.5</v>
      </c>
      <c r="I48" s="41">
        <v>2.5</v>
      </c>
      <c r="J48" s="41">
        <v>2.5</v>
      </c>
      <c r="K48" s="41">
        <v>2.5</v>
      </c>
      <c r="L48" s="41">
        <v>2.5</v>
      </c>
      <c r="M48" s="41">
        <v>2.5</v>
      </c>
      <c r="N48" s="41">
        <v>2.5</v>
      </c>
      <c r="O48" s="41">
        <v>2.5</v>
      </c>
      <c r="P48" s="41">
        <v>2.5</v>
      </c>
      <c r="Q48" s="18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</row>
    <row r="49" spans="1:26" ht="16.8" customHeight="1" x14ac:dyDescent="0.3">
      <c r="A49" s="80"/>
      <c r="B49" s="60"/>
      <c r="C49" s="61" t="s">
        <v>218</v>
      </c>
      <c r="D49" s="62" t="s">
        <v>218</v>
      </c>
      <c r="E49" s="65" t="s">
        <v>49</v>
      </c>
      <c r="F49" s="66" t="s">
        <v>49</v>
      </c>
      <c r="G49" s="41">
        <v>9</v>
      </c>
      <c r="H49" s="41">
        <v>10</v>
      </c>
      <c r="I49" s="41">
        <v>9</v>
      </c>
      <c r="J49" s="41">
        <v>9</v>
      </c>
      <c r="K49" s="41">
        <v>9</v>
      </c>
      <c r="L49" s="41">
        <v>9</v>
      </c>
      <c r="M49" s="41">
        <v>9</v>
      </c>
      <c r="N49" s="41">
        <v>9</v>
      </c>
      <c r="O49" s="41">
        <v>9</v>
      </c>
      <c r="P49" s="41">
        <v>9</v>
      </c>
      <c r="Q49" s="18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</row>
    <row r="50" spans="1:26" ht="16.8" customHeight="1" x14ac:dyDescent="0.3">
      <c r="A50" s="80"/>
      <c r="B50" s="60"/>
      <c r="C50" s="47"/>
      <c r="D50" s="48"/>
      <c r="E50" s="51"/>
      <c r="F50" s="52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2">
        <v>1</v>
      </c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6.8" x14ac:dyDescent="0.3">
      <c r="A51" s="80"/>
      <c r="B51" s="60"/>
      <c r="C51" s="61" t="s">
        <v>219</v>
      </c>
      <c r="D51" s="62" t="s">
        <v>219</v>
      </c>
      <c r="E51" s="65" t="s">
        <v>38</v>
      </c>
      <c r="F51" s="66" t="s">
        <v>38</v>
      </c>
      <c r="G51" s="41">
        <v>1</v>
      </c>
      <c r="H51" s="41">
        <v>1</v>
      </c>
      <c r="I51" s="41">
        <v>1</v>
      </c>
      <c r="J51" s="41">
        <v>1</v>
      </c>
      <c r="K51" s="41">
        <v>1</v>
      </c>
      <c r="L51" s="41">
        <v>1</v>
      </c>
      <c r="M51" s="41">
        <v>1</v>
      </c>
      <c r="N51" s="41">
        <v>1</v>
      </c>
      <c r="O51" s="41">
        <v>1</v>
      </c>
      <c r="P51" s="41">
        <v>1</v>
      </c>
      <c r="Q51" s="18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</row>
    <row r="52" spans="1:26" ht="16.8" x14ac:dyDescent="0.3">
      <c r="A52" s="80"/>
      <c r="B52" s="60"/>
      <c r="C52" s="61" t="s">
        <v>220</v>
      </c>
      <c r="D52" s="62" t="s">
        <v>220</v>
      </c>
      <c r="E52" s="65" t="s">
        <v>35</v>
      </c>
      <c r="F52" s="66" t="s">
        <v>35</v>
      </c>
      <c r="G52" s="41">
        <v>1</v>
      </c>
      <c r="H52" s="41">
        <v>1</v>
      </c>
      <c r="I52" s="41">
        <v>1</v>
      </c>
      <c r="J52" s="41">
        <v>1</v>
      </c>
      <c r="K52" s="41">
        <v>1</v>
      </c>
      <c r="L52" s="41">
        <v>1</v>
      </c>
      <c r="M52" s="41">
        <v>1</v>
      </c>
      <c r="N52" s="41">
        <v>1</v>
      </c>
      <c r="O52" s="41">
        <v>1</v>
      </c>
      <c r="P52" s="41">
        <v>1</v>
      </c>
      <c r="Q52" s="18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</row>
    <row r="53" spans="1:26" ht="16.8" customHeight="1" x14ac:dyDescent="0.3">
      <c r="A53" s="80"/>
      <c r="B53" s="60"/>
      <c r="C53" s="61" t="s">
        <v>68</v>
      </c>
      <c r="D53" s="62" t="s">
        <v>68</v>
      </c>
      <c r="E53" s="65" t="s">
        <v>49</v>
      </c>
      <c r="F53" s="66" t="s">
        <v>49</v>
      </c>
      <c r="G53" s="41">
        <v>1.5</v>
      </c>
      <c r="H53" s="41">
        <v>1.5</v>
      </c>
      <c r="I53" s="41">
        <v>1.5</v>
      </c>
      <c r="J53" s="41">
        <v>1.5</v>
      </c>
      <c r="K53" s="41">
        <v>1.5</v>
      </c>
      <c r="L53" s="41">
        <v>1.5</v>
      </c>
      <c r="M53" s="41">
        <v>1.5</v>
      </c>
      <c r="N53" s="41">
        <v>1.5</v>
      </c>
      <c r="O53" s="41">
        <v>1.5</v>
      </c>
      <c r="P53" s="41">
        <v>1.5</v>
      </c>
      <c r="Q53" s="18"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</row>
    <row r="54" spans="1:26" ht="16.8" x14ac:dyDescent="0.3">
      <c r="A54" s="80"/>
      <c r="B54" s="59"/>
      <c r="C54" s="61" t="s">
        <v>69</v>
      </c>
      <c r="D54" s="62" t="s">
        <v>69</v>
      </c>
      <c r="E54" s="65" t="s">
        <v>39</v>
      </c>
      <c r="F54" s="66" t="s">
        <v>39</v>
      </c>
      <c r="G54" s="41">
        <v>1</v>
      </c>
      <c r="H54" s="41">
        <v>1</v>
      </c>
      <c r="I54" s="41">
        <v>1</v>
      </c>
      <c r="J54" s="41">
        <v>1</v>
      </c>
      <c r="K54" s="41">
        <v>1</v>
      </c>
      <c r="L54" s="41">
        <v>1</v>
      </c>
      <c r="M54" s="41">
        <v>1</v>
      </c>
      <c r="N54" s="41">
        <v>1</v>
      </c>
      <c r="O54" s="41">
        <v>1</v>
      </c>
      <c r="P54" s="41">
        <v>1</v>
      </c>
      <c r="Q54" s="18"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</row>
    <row r="55" spans="1:26" ht="16.8" customHeight="1" x14ac:dyDescent="0.3">
      <c r="A55" s="80"/>
      <c r="B55" s="58" t="s">
        <v>195</v>
      </c>
      <c r="C55" s="61" t="s">
        <v>221</v>
      </c>
      <c r="D55" s="62" t="s">
        <v>221</v>
      </c>
      <c r="E55" s="65" t="s">
        <v>44</v>
      </c>
      <c r="F55" s="66" t="s">
        <v>44</v>
      </c>
      <c r="G55" s="41">
        <v>3</v>
      </c>
      <c r="H55" s="41">
        <v>4</v>
      </c>
      <c r="I55" s="41">
        <v>3</v>
      </c>
      <c r="J55" s="41">
        <v>3</v>
      </c>
      <c r="K55" s="41">
        <v>3</v>
      </c>
      <c r="L55" s="41">
        <v>3</v>
      </c>
      <c r="M55" s="41">
        <v>3</v>
      </c>
      <c r="N55" s="41">
        <v>3</v>
      </c>
      <c r="O55" s="41">
        <v>3</v>
      </c>
      <c r="P55" s="41">
        <v>2</v>
      </c>
      <c r="Q55" s="41">
        <v>2</v>
      </c>
      <c r="R55" s="18">
        <v>0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</row>
    <row r="56" spans="1:26" ht="16.8" customHeight="1" x14ac:dyDescent="0.3">
      <c r="A56" s="80"/>
      <c r="B56" s="60"/>
      <c r="C56" s="47"/>
      <c r="D56" s="48"/>
      <c r="E56" s="51"/>
      <c r="F56" s="52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2">
        <v>1</v>
      </c>
      <c r="S56" s="40"/>
      <c r="T56" s="40"/>
      <c r="U56" s="40"/>
      <c r="V56" s="40"/>
      <c r="W56" s="40"/>
      <c r="X56" s="40"/>
      <c r="Y56" s="40"/>
      <c r="Z56" s="40"/>
    </row>
    <row r="57" spans="1:26" ht="16.8" customHeight="1" x14ac:dyDescent="0.3">
      <c r="A57" s="80"/>
      <c r="B57" s="60"/>
      <c r="C57" s="61" t="s">
        <v>222</v>
      </c>
      <c r="D57" s="62" t="s">
        <v>222</v>
      </c>
      <c r="E57" s="65" t="s">
        <v>46</v>
      </c>
      <c r="F57" s="66" t="s">
        <v>46</v>
      </c>
      <c r="G57" s="41">
        <v>14</v>
      </c>
      <c r="H57" s="41">
        <v>14</v>
      </c>
      <c r="I57" s="41">
        <v>14</v>
      </c>
      <c r="J57" s="41">
        <v>14</v>
      </c>
      <c r="K57" s="41">
        <v>14</v>
      </c>
      <c r="L57" s="41">
        <v>14</v>
      </c>
      <c r="M57" s="41">
        <v>14</v>
      </c>
      <c r="N57" s="41">
        <v>14</v>
      </c>
      <c r="O57" s="41">
        <v>14</v>
      </c>
      <c r="P57" s="41">
        <v>10</v>
      </c>
      <c r="Q57" s="41">
        <v>10</v>
      </c>
      <c r="R57" s="18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</row>
    <row r="58" spans="1:26" ht="16.8" x14ac:dyDescent="0.3">
      <c r="A58" s="80"/>
      <c r="B58" s="60"/>
      <c r="C58" s="61" t="s">
        <v>223</v>
      </c>
      <c r="D58" s="62" t="s">
        <v>223</v>
      </c>
      <c r="E58" s="65" t="s">
        <v>36</v>
      </c>
      <c r="F58" s="66" t="s">
        <v>36</v>
      </c>
      <c r="G58" s="41">
        <v>2</v>
      </c>
      <c r="H58" s="41">
        <v>2</v>
      </c>
      <c r="I58" s="41">
        <v>2</v>
      </c>
      <c r="J58" s="41">
        <v>2</v>
      </c>
      <c r="K58" s="41">
        <v>2</v>
      </c>
      <c r="L58" s="41">
        <v>2</v>
      </c>
      <c r="M58" s="41">
        <v>2</v>
      </c>
      <c r="N58" s="41">
        <v>2</v>
      </c>
      <c r="O58" s="41">
        <v>2</v>
      </c>
      <c r="P58" s="41">
        <v>2</v>
      </c>
      <c r="Q58" s="41">
        <v>2</v>
      </c>
      <c r="R58" s="18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</row>
    <row r="59" spans="1:26" ht="16.8" x14ac:dyDescent="0.3">
      <c r="A59" s="80"/>
      <c r="B59" s="60"/>
      <c r="C59" s="61" t="s">
        <v>224</v>
      </c>
      <c r="D59" s="62" t="s">
        <v>224</v>
      </c>
      <c r="E59" s="65" t="s">
        <v>37</v>
      </c>
      <c r="F59" s="66" t="s">
        <v>37</v>
      </c>
      <c r="G59" s="41">
        <v>2</v>
      </c>
      <c r="H59" s="41">
        <v>2</v>
      </c>
      <c r="I59" s="41">
        <v>2</v>
      </c>
      <c r="J59" s="41">
        <v>2</v>
      </c>
      <c r="K59" s="41">
        <v>2</v>
      </c>
      <c r="L59" s="41">
        <v>2</v>
      </c>
      <c r="M59" s="41">
        <v>2</v>
      </c>
      <c r="N59" s="41">
        <v>2</v>
      </c>
      <c r="O59" s="41">
        <v>2</v>
      </c>
      <c r="P59" s="41">
        <v>2</v>
      </c>
      <c r="Q59" s="41">
        <v>2</v>
      </c>
      <c r="R59" s="41">
        <v>2</v>
      </c>
      <c r="S59" s="18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</row>
    <row r="60" spans="1:26" ht="16.8" customHeight="1" x14ac:dyDescent="0.3">
      <c r="A60" s="80"/>
      <c r="B60" s="60"/>
      <c r="C60" s="61" t="s">
        <v>68</v>
      </c>
      <c r="D60" s="62" t="s">
        <v>68</v>
      </c>
      <c r="E60" s="65" t="s">
        <v>46</v>
      </c>
      <c r="F60" s="66" t="s">
        <v>46</v>
      </c>
      <c r="G60" s="41">
        <v>2</v>
      </c>
      <c r="H60" s="41">
        <v>2</v>
      </c>
      <c r="I60" s="41">
        <v>2</v>
      </c>
      <c r="J60" s="41">
        <v>2</v>
      </c>
      <c r="K60" s="41">
        <v>2</v>
      </c>
      <c r="L60" s="41">
        <v>2</v>
      </c>
      <c r="M60" s="41">
        <v>2</v>
      </c>
      <c r="N60" s="41">
        <v>2</v>
      </c>
      <c r="O60" s="41">
        <v>2</v>
      </c>
      <c r="P60" s="41">
        <v>2</v>
      </c>
      <c r="Q60" s="41">
        <v>2</v>
      </c>
      <c r="R60" s="41">
        <v>2</v>
      </c>
      <c r="S60" s="18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</row>
    <row r="61" spans="1:26" ht="16.8" x14ac:dyDescent="0.3">
      <c r="A61" s="80"/>
      <c r="B61" s="59"/>
      <c r="C61" s="61" t="s">
        <v>69</v>
      </c>
      <c r="D61" s="62" t="s">
        <v>69</v>
      </c>
      <c r="E61" s="65" t="s">
        <v>36</v>
      </c>
      <c r="F61" s="66" t="s">
        <v>36</v>
      </c>
      <c r="G61" s="41">
        <v>1</v>
      </c>
      <c r="H61" s="41">
        <v>1</v>
      </c>
      <c r="I61" s="41">
        <v>1</v>
      </c>
      <c r="J61" s="41">
        <v>1</v>
      </c>
      <c r="K61" s="41">
        <v>1</v>
      </c>
      <c r="L61" s="41">
        <v>1</v>
      </c>
      <c r="M61" s="41">
        <v>1</v>
      </c>
      <c r="N61" s="41">
        <v>1</v>
      </c>
      <c r="O61" s="41">
        <v>1</v>
      </c>
      <c r="P61" s="41">
        <v>1</v>
      </c>
      <c r="Q61" s="41">
        <v>1</v>
      </c>
      <c r="R61" s="41">
        <v>1</v>
      </c>
      <c r="S61" s="18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</row>
    <row r="62" spans="1:26" ht="16.8" customHeight="1" x14ac:dyDescent="0.3">
      <c r="A62" s="80"/>
      <c r="B62" s="58" t="s">
        <v>196</v>
      </c>
      <c r="C62" s="61" t="s">
        <v>225</v>
      </c>
      <c r="D62" s="62" t="s">
        <v>225</v>
      </c>
      <c r="E62" s="65" t="s">
        <v>45</v>
      </c>
      <c r="F62" s="66" t="s">
        <v>45</v>
      </c>
      <c r="G62" s="41">
        <v>2.5</v>
      </c>
      <c r="H62" s="41">
        <v>3.5</v>
      </c>
      <c r="I62" s="41">
        <v>2.5</v>
      </c>
      <c r="J62" s="41">
        <v>2.5</v>
      </c>
      <c r="K62" s="41">
        <v>2.5</v>
      </c>
      <c r="L62" s="41">
        <v>2.5</v>
      </c>
      <c r="M62" s="41">
        <v>2.5</v>
      </c>
      <c r="N62" s="41">
        <v>2.5</v>
      </c>
      <c r="O62" s="41">
        <v>2.5</v>
      </c>
      <c r="P62" s="41">
        <v>2.5</v>
      </c>
      <c r="Q62" s="41">
        <v>2.5</v>
      </c>
      <c r="R62" s="41">
        <v>2.5</v>
      </c>
      <c r="S62" s="41">
        <v>2.5</v>
      </c>
      <c r="T62" s="18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</row>
    <row r="63" spans="1:26" ht="16.8" customHeight="1" x14ac:dyDescent="0.3">
      <c r="A63" s="80"/>
      <c r="B63" s="60"/>
      <c r="C63" s="47"/>
      <c r="D63" s="48"/>
      <c r="E63" s="51"/>
      <c r="F63" s="52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2">
        <v>1</v>
      </c>
      <c r="U63" s="40"/>
      <c r="V63" s="40"/>
      <c r="W63" s="40"/>
      <c r="X63" s="40"/>
      <c r="Y63" s="40"/>
      <c r="Z63" s="40"/>
    </row>
    <row r="64" spans="1:26" ht="16.8" customHeight="1" x14ac:dyDescent="0.3">
      <c r="A64" s="80"/>
      <c r="B64" s="60"/>
      <c r="C64" s="61" t="s">
        <v>226</v>
      </c>
      <c r="D64" s="62" t="s">
        <v>226</v>
      </c>
      <c r="E64" s="65" t="s">
        <v>43</v>
      </c>
      <c r="F64" s="66" t="s">
        <v>43</v>
      </c>
      <c r="G64" s="41">
        <v>9</v>
      </c>
      <c r="H64" s="41">
        <v>9</v>
      </c>
      <c r="I64" s="41">
        <v>9</v>
      </c>
      <c r="J64" s="41">
        <v>9</v>
      </c>
      <c r="K64" s="41">
        <v>9</v>
      </c>
      <c r="L64" s="41">
        <v>9</v>
      </c>
      <c r="M64" s="41">
        <v>9</v>
      </c>
      <c r="N64" s="41">
        <v>9</v>
      </c>
      <c r="O64" s="41">
        <v>9</v>
      </c>
      <c r="P64" s="41">
        <v>9</v>
      </c>
      <c r="Q64" s="41">
        <v>9</v>
      </c>
      <c r="R64" s="41">
        <v>9</v>
      </c>
      <c r="S64" s="41">
        <v>9</v>
      </c>
      <c r="T64" s="18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</row>
    <row r="65" spans="1:26" ht="16.8" x14ac:dyDescent="0.3">
      <c r="A65" s="80"/>
      <c r="B65" s="60"/>
      <c r="C65" s="61" t="s">
        <v>227</v>
      </c>
      <c r="D65" s="62" t="s">
        <v>227</v>
      </c>
      <c r="E65" s="65" t="s">
        <v>38</v>
      </c>
      <c r="F65" s="66" t="s">
        <v>38</v>
      </c>
      <c r="G65" s="41">
        <v>1</v>
      </c>
      <c r="H65" s="41">
        <v>1</v>
      </c>
      <c r="I65" s="41">
        <v>1</v>
      </c>
      <c r="J65" s="41">
        <v>1</v>
      </c>
      <c r="K65" s="41">
        <v>1</v>
      </c>
      <c r="L65" s="41">
        <v>1</v>
      </c>
      <c r="M65" s="41">
        <v>1</v>
      </c>
      <c r="N65" s="41">
        <v>1</v>
      </c>
      <c r="O65" s="41">
        <v>1</v>
      </c>
      <c r="P65" s="41">
        <v>1</v>
      </c>
      <c r="Q65" s="41">
        <v>1</v>
      </c>
      <c r="R65" s="41">
        <v>1</v>
      </c>
      <c r="S65" s="41">
        <v>1</v>
      </c>
      <c r="T65" s="18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</row>
    <row r="66" spans="1:26" ht="16.8" x14ac:dyDescent="0.3">
      <c r="A66" s="80"/>
      <c r="B66" s="60"/>
      <c r="C66" s="61" t="s">
        <v>228</v>
      </c>
      <c r="D66" s="62" t="s">
        <v>228</v>
      </c>
      <c r="E66" s="65" t="s">
        <v>39</v>
      </c>
      <c r="F66" s="66" t="s">
        <v>39</v>
      </c>
      <c r="G66" s="41">
        <v>1</v>
      </c>
      <c r="H66" s="41">
        <v>1</v>
      </c>
      <c r="I66" s="41">
        <v>1</v>
      </c>
      <c r="J66" s="41">
        <v>1</v>
      </c>
      <c r="K66" s="41">
        <v>1</v>
      </c>
      <c r="L66" s="41">
        <v>1</v>
      </c>
      <c r="M66" s="41">
        <v>1</v>
      </c>
      <c r="N66" s="41">
        <v>1</v>
      </c>
      <c r="O66" s="41">
        <v>1</v>
      </c>
      <c r="P66" s="41">
        <v>1</v>
      </c>
      <c r="Q66" s="41">
        <v>1</v>
      </c>
      <c r="R66" s="41">
        <v>1</v>
      </c>
      <c r="S66" s="41">
        <v>1</v>
      </c>
      <c r="T66" s="18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</row>
    <row r="67" spans="1:26" ht="16.8" customHeight="1" x14ac:dyDescent="0.3">
      <c r="A67" s="80"/>
      <c r="B67" s="60"/>
      <c r="C67" s="61" t="s">
        <v>68</v>
      </c>
      <c r="D67" s="62" t="s">
        <v>68</v>
      </c>
      <c r="E67" s="65" t="s">
        <v>43</v>
      </c>
      <c r="F67" s="66" t="s">
        <v>43</v>
      </c>
      <c r="G67" s="41">
        <v>1.5</v>
      </c>
      <c r="H67" s="41">
        <v>1.5</v>
      </c>
      <c r="I67" s="41">
        <v>1.5</v>
      </c>
      <c r="J67" s="41">
        <v>1.5</v>
      </c>
      <c r="K67" s="41">
        <v>1.5</v>
      </c>
      <c r="L67" s="41">
        <v>1.5</v>
      </c>
      <c r="M67" s="41">
        <v>1.5</v>
      </c>
      <c r="N67" s="41">
        <v>1.5</v>
      </c>
      <c r="O67" s="41">
        <v>1.5</v>
      </c>
      <c r="P67" s="41">
        <v>1.5</v>
      </c>
      <c r="Q67" s="41">
        <v>1.5</v>
      </c>
      <c r="R67" s="41">
        <v>1.5</v>
      </c>
      <c r="S67" s="41">
        <v>1.5</v>
      </c>
      <c r="T67" s="18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</row>
    <row r="68" spans="1:26" ht="16.8" x14ac:dyDescent="0.3">
      <c r="A68" s="80"/>
      <c r="B68" s="59"/>
      <c r="C68" s="61" t="s">
        <v>69</v>
      </c>
      <c r="D68" s="62" t="s">
        <v>69</v>
      </c>
      <c r="E68" s="65" t="s">
        <v>37</v>
      </c>
      <c r="F68" s="66" t="s">
        <v>37</v>
      </c>
      <c r="G68" s="41">
        <v>1</v>
      </c>
      <c r="H68" s="41">
        <v>1</v>
      </c>
      <c r="I68" s="41">
        <v>1</v>
      </c>
      <c r="J68" s="41">
        <v>1</v>
      </c>
      <c r="K68" s="41">
        <v>1</v>
      </c>
      <c r="L68" s="41">
        <v>1</v>
      </c>
      <c r="M68" s="41">
        <v>1</v>
      </c>
      <c r="N68" s="41">
        <v>1</v>
      </c>
      <c r="O68" s="41">
        <v>1</v>
      </c>
      <c r="P68" s="41">
        <v>1</v>
      </c>
      <c r="Q68" s="41">
        <v>1</v>
      </c>
      <c r="R68" s="41">
        <v>1</v>
      </c>
      <c r="S68" s="41">
        <v>1</v>
      </c>
      <c r="T68" s="18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</row>
    <row r="69" spans="1:26" ht="16.8" customHeight="1" x14ac:dyDescent="0.3">
      <c r="A69" s="80"/>
      <c r="B69" s="58" t="s">
        <v>197</v>
      </c>
      <c r="C69" s="61" t="s">
        <v>229</v>
      </c>
      <c r="D69" s="62" t="s">
        <v>229</v>
      </c>
      <c r="E69" s="65" t="s">
        <v>44</v>
      </c>
      <c r="F69" s="66" t="s">
        <v>44</v>
      </c>
      <c r="G69" s="41">
        <v>2.5</v>
      </c>
      <c r="H69" s="41">
        <v>2.5</v>
      </c>
      <c r="I69" s="41">
        <v>2.5</v>
      </c>
      <c r="J69" s="41">
        <v>2.5</v>
      </c>
      <c r="K69" s="41">
        <v>2.5</v>
      </c>
      <c r="L69" s="41">
        <v>2.5</v>
      </c>
      <c r="M69" s="41">
        <v>2.5</v>
      </c>
      <c r="N69" s="41">
        <v>2.5</v>
      </c>
      <c r="O69" s="41">
        <v>2.5</v>
      </c>
      <c r="P69" s="41">
        <v>2.5</v>
      </c>
      <c r="Q69" s="41">
        <v>2.5</v>
      </c>
      <c r="R69" s="41">
        <v>2.5</v>
      </c>
      <c r="S69" s="41">
        <v>2.5</v>
      </c>
      <c r="T69" s="41">
        <v>2.5</v>
      </c>
      <c r="U69" s="18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</row>
    <row r="70" spans="1:26" ht="16.8" customHeight="1" x14ac:dyDescent="0.3">
      <c r="A70" s="80"/>
      <c r="B70" s="60"/>
      <c r="C70" s="61" t="s">
        <v>230</v>
      </c>
      <c r="D70" s="62" t="s">
        <v>230</v>
      </c>
      <c r="E70" s="65" t="s">
        <v>47</v>
      </c>
      <c r="F70" s="66" t="s">
        <v>47</v>
      </c>
      <c r="G70" s="41">
        <v>9</v>
      </c>
      <c r="H70" s="41">
        <v>9</v>
      </c>
      <c r="I70" s="41">
        <v>9</v>
      </c>
      <c r="J70" s="41">
        <v>9</v>
      </c>
      <c r="K70" s="41">
        <v>9</v>
      </c>
      <c r="L70" s="41">
        <v>9</v>
      </c>
      <c r="M70" s="41">
        <v>9</v>
      </c>
      <c r="N70" s="41">
        <v>9</v>
      </c>
      <c r="O70" s="41">
        <v>9</v>
      </c>
      <c r="P70" s="41">
        <v>9</v>
      </c>
      <c r="Q70" s="41">
        <v>9</v>
      </c>
      <c r="R70" s="41">
        <v>9</v>
      </c>
      <c r="S70" s="41">
        <v>9</v>
      </c>
      <c r="T70" s="41">
        <v>9</v>
      </c>
      <c r="U70" s="18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</row>
    <row r="71" spans="1:26" ht="16.8" x14ac:dyDescent="0.3">
      <c r="A71" s="80"/>
      <c r="B71" s="60"/>
      <c r="C71" s="61" t="s">
        <v>231</v>
      </c>
      <c r="D71" s="62" t="s">
        <v>231</v>
      </c>
      <c r="E71" s="65" t="s">
        <v>35</v>
      </c>
      <c r="F71" s="66" t="s">
        <v>35</v>
      </c>
      <c r="G71" s="41">
        <v>1</v>
      </c>
      <c r="H71" s="41">
        <v>1</v>
      </c>
      <c r="I71" s="41">
        <v>1</v>
      </c>
      <c r="J71" s="41">
        <v>1</v>
      </c>
      <c r="K71" s="41">
        <v>1</v>
      </c>
      <c r="L71" s="41">
        <v>1</v>
      </c>
      <c r="M71" s="41">
        <v>1</v>
      </c>
      <c r="N71" s="41">
        <v>1</v>
      </c>
      <c r="O71" s="41">
        <v>1</v>
      </c>
      <c r="P71" s="41">
        <v>1</v>
      </c>
      <c r="Q71" s="41">
        <v>1</v>
      </c>
      <c r="R71" s="41">
        <v>1</v>
      </c>
      <c r="S71" s="41">
        <v>1</v>
      </c>
      <c r="T71" s="41">
        <v>1</v>
      </c>
      <c r="U71" s="18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</row>
    <row r="72" spans="1:26" ht="16.8" x14ac:dyDescent="0.3">
      <c r="A72" s="80"/>
      <c r="B72" s="60"/>
      <c r="C72" s="61" t="s">
        <v>232</v>
      </c>
      <c r="D72" s="62" t="s">
        <v>232</v>
      </c>
      <c r="E72" s="65" t="s">
        <v>37</v>
      </c>
      <c r="F72" s="66" t="s">
        <v>37</v>
      </c>
      <c r="G72" s="41">
        <v>1</v>
      </c>
      <c r="H72" s="41">
        <v>1</v>
      </c>
      <c r="I72" s="41">
        <v>1</v>
      </c>
      <c r="J72" s="41">
        <v>1</v>
      </c>
      <c r="K72" s="41">
        <v>1</v>
      </c>
      <c r="L72" s="41">
        <v>1</v>
      </c>
      <c r="M72" s="41">
        <v>1</v>
      </c>
      <c r="N72" s="41">
        <v>1</v>
      </c>
      <c r="O72" s="41">
        <v>1</v>
      </c>
      <c r="P72" s="41">
        <v>1</v>
      </c>
      <c r="Q72" s="41">
        <v>1</v>
      </c>
      <c r="R72" s="41">
        <v>1</v>
      </c>
      <c r="S72" s="41">
        <v>1</v>
      </c>
      <c r="T72" s="41">
        <v>1</v>
      </c>
      <c r="U72" s="18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</row>
    <row r="73" spans="1:26" ht="16.8" customHeight="1" x14ac:dyDescent="0.3">
      <c r="A73" s="80"/>
      <c r="B73" s="60"/>
      <c r="C73" s="61" t="s">
        <v>68</v>
      </c>
      <c r="D73" s="62" t="s">
        <v>68</v>
      </c>
      <c r="E73" s="65" t="s">
        <v>47</v>
      </c>
      <c r="F73" s="66" t="s">
        <v>47</v>
      </c>
      <c r="G73" s="41">
        <v>1.5</v>
      </c>
      <c r="H73" s="41">
        <v>1.5</v>
      </c>
      <c r="I73" s="41">
        <v>1.5</v>
      </c>
      <c r="J73" s="41">
        <v>1.5</v>
      </c>
      <c r="K73" s="41">
        <v>1.5</v>
      </c>
      <c r="L73" s="41">
        <v>1.5</v>
      </c>
      <c r="M73" s="41">
        <v>1.5</v>
      </c>
      <c r="N73" s="41">
        <v>1.5</v>
      </c>
      <c r="O73" s="41">
        <v>1.5</v>
      </c>
      <c r="P73" s="41">
        <v>1.5</v>
      </c>
      <c r="Q73" s="41">
        <v>1.5</v>
      </c>
      <c r="R73" s="41">
        <v>1.5</v>
      </c>
      <c r="S73" s="41">
        <v>1.5</v>
      </c>
      <c r="T73" s="41">
        <v>1.5</v>
      </c>
      <c r="U73" s="18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</row>
    <row r="74" spans="1:26" ht="16.8" x14ac:dyDescent="0.3">
      <c r="A74" s="80"/>
      <c r="B74" s="59"/>
      <c r="C74" s="61" t="s">
        <v>69</v>
      </c>
      <c r="D74" s="62" t="s">
        <v>69</v>
      </c>
      <c r="E74" s="65" t="s">
        <v>38</v>
      </c>
      <c r="F74" s="66" t="s">
        <v>38</v>
      </c>
      <c r="G74" s="41">
        <v>1</v>
      </c>
      <c r="H74" s="41">
        <v>1</v>
      </c>
      <c r="I74" s="41">
        <v>1</v>
      </c>
      <c r="J74" s="41">
        <v>1</v>
      </c>
      <c r="K74" s="41">
        <v>1</v>
      </c>
      <c r="L74" s="41">
        <v>1</v>
      </c>
      <c r="M74" s="41">
        <v>1</v>
      </c>
      <c r="N74" s="41">
        <v>1</v>
      </c>
      <c r="O74" s="41">
        <v>1</v>
      </c>
      <c r="P74" s="41">
        <v>1</v>
      </c>
      <c r="Q74" s="41">
        <v>1</v>
      </c>
      <c r="R74" s="41">
        <v>1</v>
      </c>
      <c r="S74" s="41">
        <v>1</v>
      </c>
      <c r="T74" s="41">
        <v>1</v>
      </c>
      <c r="U74" s="18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</row>
    <row r="75" spans="1:26" ht="16.8" customHeight="1" x14ac:dyDescent="0.3">
      <c r="A75" s="80"/>
      <c r="B75" s="58" t="s">
        <v>246</v>
      </c>
      <c r="C75" s="61" t="s">
        <v>247</v>
      </c>
      <c r="D75" s="62" t="s">
        <v>229</v>
      </c>
      <c r="E75" s="65" t="s">
        <v>45</v>
      </c>
      <c r="F75" s="66" t="s">
        <v>44</v>
      </c>
      <c r="G75" s="41">
        <v>2.5</v>
      </c>
      <c r="H75" s="41">
        <v>2.5</v>
      </c>
      <c r="I75" s="41">
        <v>2.5</v>
      </c>
      <c r="J75" s="41">
        <v>2.5</v>
      </c>
      <c r="K75" s="41">
        <v>2.5</v>
      </c>
      <c r="L75" s="41">
        <v>2.5</v>
      </c>
      <c r="M75" s="41">
        <v>2.5</v>
      </c>
      <c r="N75" s="41">
        <v>2.5</v>
      </c>
      <c r="O75" s="41">
        <v>2.5</v>
      </c>
      <c r="P75" s="41">
        <v>2.5</v>
      </c>
      <c r="Q75" s="41">
        <v>2.5</v>
      </c>
      <c r="R75" s="41">
        <v>2.5</v>
      </c>
      <c r="S75" s="41">
        <v>2.5</v>
      </c>
      <c r="T75" s="41">
        <v>2.5</v>
      </c>
      <c r="U75" s="41">
        <v>2.5</v>
      </c>
      <c r="V75" s="18">
        <v>0</v>
      </c>
      <c r="W75" s="40">
        <v>0</v>
      </c>
      <c r="X75" s="40">
        <v>0</v>
      </c>
      <c r="Y75" s="40">
        <v>0</v>
      </c>
      <c r="Z75" s="40">
        <v>0</v>
      </c>
    </row>
    <row r="76" spans="1:26" ht="16.8" customHeight="1" x14ac:dyDescent="0.3">
      <c r="A76" s="80"/>
      <c r="B76" s="60"/>
      <c r="C76" s="61" t="s">
        <v>248</v>
      </c>
      <c r="D76" s="62" t="s">
        <v>230</v>
      </c>
      <c r="E76" s="65" t="s">
        <v>251</v>
      </c>
      <c r="F76" s="66" t="s">
        <v>47</v>
      </c>
      <c r="G76" s="41">
        <v>9</v>
      </c>
      <c r="H76" s="41">
        <v>9</v>
      </c>
      <c r="I76" s="41">
        <v>9</v>
      </c>
      <c r="J76" s="41">
        <v>9</v>
      </c>
      <c r="K76" s="41">
        <v>9</v>
      </c>
      <c r="L76" s="41">
        <v>9</v>
      </c>
      <c r="M76" s="41">
        <v>9</v>
      </c>
      <c r="N76" s="41">
        <v>9</v>
      </c>
      <c r="O76" s="41">
        <v>9</v>
      </c>
      <c r="P76" s="41">
        <v>9</v>
      </c>
      <c r="Q76" s="41">
        <v>9</v>
      </c>
      <c r="R76" s="41">
        <v>9</v>
      </c>
      <c r="S76" s="41">
        <v>9</v>
      </c>
      <c r="T76" s="41">
        <v>9</v>
      </c>
      <c r="U76" s="41">
        <v>9</v>
      </c>
      <c r="V76" s="18">
        <v>0</v>
      </c>
      <c r="W76" s="40">
        <v>0</v>
      </c>
      <c r="X76" s="40">
        <v>0</v>
      </c>
      <c r="Y76" s="40">
        <v>0</v>
      </c>
      <c r="Z76" s="40">
        <v>0</v>
      </c>
    </row>
    <row r="77" spans="1:26" ht="16.8" x14ac:dyDescent="0.3">
      <c r="A77" s="80"/>
      <c r="B77" s="60"/>
      <c r="C77" s="61" t="s">
        <v>249</v>
      </c>
      <c r="D77" s="62" t="s">
        <v>231</v>
      </c>
      <c r="E77" s="65" t="s">
        <v>38</v>
      </c>
      <c r="F77" s="66" t="s">
        <v>35</v>
      </c>
      <c r="G77" s="41">
        <v>1</v>
      </c>
      <c r="H77" s="41">
        <v>1</v>
      </c>
      <c r="I77" s="41">
        <v>1</v>
      </c>
      <c r="J77" s="41">
        <v>1</v>
      </c>
      <c r="K77" s="41">
        <v>1</v>
      </c>
      <c r="L77" s="41">
        <v>1</v>
      </c>
      <c r="M77" s="41">
        <v>1</v>
      </c>
      <c r="N77" s="41">
        <v>1</v>
      </c>
      <c r="O77" s="41">
        <v>1</v>
      </c>
      <c r="P77" s="41">
        <v>1</v>
      </c>
      <c r="Q77" s="41">
        <v>1</v>
      </c>
      <c r="R77" s="41">
        <v>1</v>
      </c>
      <c r="S77" s="41">
        <v>1</v>
      </c>
      <c r="T77" s="41">
        <v>1</v>
      </c>
      <c r="U77" s="41">
        <v>1</v>
      </c>
      <c r="V77" s="18">
        <v>0</v>
      </c>
      <c r="W77" s="40">
        <v>0</v>
      </c>
      <c r="X77" s="40">
        <v>0</v>
      </c>
      <c r="Y77" s="40">
        <v>0</v>
      </c>
      <c r="Z77" s="40">
        <v>0</v>
      </c>
    </row>
    <row r="78" spans="1:26" ht="16.8" x14ac:dyDescent="0.3">
      <c r="A78" s="80"/>
      <c r="B78" s="60"/>
      <c r="C78" s="61" t="s">
        <v>250</v>
      </c>
      <c r="D78" s="62" t="s">
        <v>232</v>
      </c>
      <c r="E78" s="65" t="s">
        <v>39</v>
      </c>
      <c r="F78" s="66" t="s">
        <v>37</v>
      </c>
      <c r="G78" s="41">
        <v>1</v>
      </c>
      <c r="H78" s="41">
        <v>2</v>
      </c>
      <c r="I78" s="41">
        <v>1</v>
      </c>
      <c r="J78" s="41">
        <v>1</v>
      </c>
      <c r="K78" s="41">
        <v>1</v>
      </c>
      <c r="L78" s="41">
        <v>1</v>
      </c>
      <c r="M78" s="41">
        <v>1</v>
      </c>
      <c r="N78" s="41">
        <v>1</v>
      </c>
      <c r="O78" s="41">
        <v>1</v>
      </c>
      <c r="P78" s="41">
        <v>1</v>
      </c>
      <c r="Q78" s="41">
        <v>1</v>
      </c>
      <c r="R78" s="41">
        <v>1</v>
      </c>
      <c r="S78" s="41">
        <v>1</v>
      </c>
      <c r="T78" s="41">
        <v>1</v>
      </c>
      <c r="U78" s="41">
        <v>1</v>
      </c>
      <c r="V78" s="18">
        <v>0</v>
      </c>
      <c r="W78" s="40">
        <v>0</v>
      </c>
      <c r="X78" s="40">
        <v>0</v>
      </c>
      <c r="Y78" s="40">
        <v>0</v>
      </c>
      <c r="Z78" s="40">
        <v>0</v>
      </c>
    </row>
    <row r="79" spans="1:26" ht="16.8" x14ac:dyDescent="0.3">
      <c r="A79" s="80"/>
      <c r="B79" s="60"/>
      <c r="C79" s="47"/>
      <c r="D79" s="48"/>
      <c r="E79" s="51"/>
      <c r="F79" s="52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2">
        <v>1</v>
      </c>
      <c r="W79" s="40"/>
      <c r="X79" s="40"/>
      <c r="Y79" s="40"/>
      <c r="Z79" s="40"/>
    </row>
    <row r="80" spans="1:26" ht="16.8" customHeight="1" x14ac:dyDescent="0.3">
      <c r="A80" s="80"/>
      <c r="B80" s="60"/>
      <c r="C80" s="61" t="s">
        <v>68</v>
      </c>
      <c r="D80" s="62" t="s">
        <v>68</v>
      </c>
      <c r="E80" s="65" t="s">
        <v>251</v>
      </c>
      <c r="F80" s="66" t="s">
        <v>47</v>
      </c>
      <c r="G80" s="41">
        <v>1.5</v>
      </c>
      <c r="H80" s="41">
        <v>1.5</v>
      </c>
      <c r="I80" s="41">
        <v>1.5</v>
      </c>
      <c r="J80" s="41">
        <v>1.5</v>
      </c>
      <c r="K80" s="41">
        <v>1.5</v>
      </c>
      <c r="L80" s="41">
        <v>1.5</v>
      </c>
      <c r="M80" s="41">
        <v>1.5</v>
      </c>
      <c r="N80" s="41">
        <v>1.5</v>
      </c>
      <c r="O80" s="41">
        <v>1.5</v>
      </c>
      <c r="P80" s="41">
        <v>1.5</v>
      </c>
      <c r="Q80" s="41">
        <v>1.5</v>
      </c>
      <c r="R80" s="41">
        <v>1.5</v>
      </c>
      <c r="S80" s="41">
        <v>1.5</v>
      </c>
      <c r="T80" s="41">
        <v>1.5</v>
      </c>
      <c r="U80" s="41">
        <v>1.5</v>
      </c>
      <c r="V80" s="18">
        <v>0</v>
      </c>
      <c r="W80" s="40">
        <v>0</v>
      </c>
      <c r="X80" s="40">
        <v>0</v>
      </c>
      <c r="Y80" s="40">
        <v>0</v>
      </c>
      <c r="Z80" s="40">
        <v>0</v>
      </c>
    </row>
    <row r="81" spans="1:26" ht="16.8" x14ac:dyDescent="0.3">
      <c r="A81" s="80"/>
      <c r="B81" s="59"/>
      <c r="C81" s="61" t="s">
        <v>69</v>
      </c>
      <c r="D81" s="62" t="s">
        <v>69</v>
      </c>
      <c r="E81" s="65" t="s">
        <v>37</v>
      </c>
      <c r="F81" s="66" t="s">
        <v>38</v>
      </c>
      <c r="G81" s="41">
        <v>1</v>
      </c>
      <c r="H81" s="41">
        <v>1</v>
      </c>
      <c r="I81" s="41">
        <v>1</v>
      </c>
      <c r="J81" s="41">
        <v>1</v>
      </c>
      <c r="K81" s="41">
        <v>1</v>
      </c>
      <c r="L81" s="41">
        <v>1</v>
      </c>
      <c r="M81" s="41">
        <v>1</v>
      </c>
      <c r="N81" s="41">
        <v>1</v>
      </c>
      <c r="O81" s="41">
        <v>1</v>
      </c>
      <c r="P81" s="41">
        <v>1</v>
      </c>
      <c r="Q81" s="41">
        <v>1</v>
      </c>
      <c r="R81" s="41">
        <v>1</v>
      </c>
      <c r="S81" s="41">
        <v>1</v>
      </c>
      <c r="T81" s="41">
        <v>1</v>
      </c>
      <c r="U81" s="41">
        <v>1</v>
      </c>
      <c r="V81" s="18">
        <v>0</v>
      </c>
      <c r="W81" s="40">
        <v>0</v>
      </c>
      <c r="X81" s="40">
        <v>0</v>
      </c>
      <c r="Y81" s="40">
        <v>0</v>
      </c>
      <c r="Z81" s="40">
        <v>0</v>
      </c>
    </row>
    <row r="82" spans="1:26" ht="16.8" customHeight="1" x14ac:dyDescent="0.3">
      <c r="A82" s="80"/>
      <c r="B82" s="58" t="s">
        <v>198</v>
      </c>
      <c r="C82" s="61" t="s">
        <v>233</v>
      </c>
      <c r="D82" s="62" t="s">
        <v>233</v>
      </c>
      <c r="E82" s="65" t="s">
        <v>44</v>
      </c>
      <c r="F82" s="66" t="s">
        <v>44</v>
      </c>
      <c r="G82" s="41">
        <v>2.5</v>
      </c>
      <c r="H82" s="41">
        <v>2.5</v>
      </c>
      <c r="I82" s="41">
        <v>2.5</v>
      </c>
      <c r="J82" s="41">
        <v>2.5</v>
      </c>
      <c r="K82" s="41">
        <v>2.5</v>
      </c>
      <c r="L82" s="41">
        <v>2.5</v>
      </c>
      <c r="M82" s="41">
        <v>2.5</v>
      </c>
      <c r="N82" s="41">
        <v>2.5</v>
      </c>
      <c r="O82" s="41">
        <v>2.5</v>
      </c>
      <c r="P82" s="41">
        <v>2.5</v>
      </c>
      <c r="Q82" s="41">
        <v>2.5</v>
      </c>
      <c r="R82" s="41">
        <v>2.5</v>
      </c>
      <c r="S82" s="41">
        <v>2.5</v>
      </c>
      <c r="T82" s="41">
        <v>2.5</v>
      </c>
      <c r="U82" s="41">
        <v>2.5</v>
      </c>
      <c r="V82" s="41">
        <v>2.5</v>
      </c>
      <c r="W82" s="18">
        <v>0</v>
      </c>
      <c r="X82" s="40">
        <v>0</v>
      </c>
      <c r="Y82" s="40">
        <v>0</v>
      </c>
      <c r="Z82" s="40">
        <v>0</v>
      </c>
    </row>
    <row r="83" spans="1:26" ht="16.8" customHeight="1" x14ac:dyDescent="0.3">
      <c r="A83" s="80"/>
      <c r="B83" s="60"/>
      <c r="C83" s="61" t="s">
        <v>234</v>
      </c>
      <c r="D83" s="62" t="s">
        <v>234</v>
      </c>
      <c r="E83" s="65" t="s">
        <v>49</v>
      </c>
      <c r="F83" s="66" t="s">
        <v>49</v>
      </c>
      <c r="G83" s="41">
        <v>9</v>
      </c>
      <c r="H83" s="41">
        <v>9</v>
      </c>
      <c r="I83" s="41">
        <v>9</v>
      </c>
      <c r="J83" s="41">
        <v>9</v>
      </c>
      <c r="K83" s="41">
        <v>9</v>
      </c>
      <c r="L83" s="41">
        <v>9</v>
      </c>
      <c r="M83" s="41">
        <v>9</v>
      </c>
      <c r="N83" s="41">
        <v>9</v>
      </c>
      <c r="O83" s="41">
        <v>9</v>
      </c>
      <c r="P83" s="41">
        <v>9</v>
      </c>
      <c r="Q83" s="41">
        <v>9</v>
      </c>
      <c r="R83" s="41">
        <v>9</v>
      </c>
      <c r="S83" s="41">
        <v>9</v>
      </c>
      <c r="T83" s="41">
        <v>9</v>
      </c>
      <c r="U83" s="41">
        <v>9</v>
      </c>
      <c r="V83" s="41">
        <v>9</v>
      </c>
      <c r="W83" s="18">
        <v>0</v>
      </c>
      <c r="X83" s="40">
        <v>0</v>
      </c>
      <c r="Y83" s="40">
        <v>0</v>
      </c>
      <c r="Z83" s="40">
        <v>0</v>
      </c>
    </row>
    <row r="84" spans="1:26" ht="16.8" x14ac:dyDescent="0.3">
      <c r="A84" s="80"/>
      <c r="B84" s="60"/>
      <c r="C84" s="61" t="s">
        <v>235</v>
      </c>
      <c r="D84" s="62" t="s">
        <v>235</v>
      </c>
      <c r="E84" s="65" t="s">
        <v>36</v>
      </c>
      <c r="F84" s="66" t="s">
        <v>36</v>
      </c>
      <c r="G84" s="41">
        <v>1</v>
      </c>
      <c r="H84" s="41">
        <v>1</v>
      </c>
      <c r="I84" s="41">
        <v>1</v>
      </c>
      <c r="J84" s="41">
        <v>1</v>
      </c>
      <c r="K84" s="41">
        <v>1</v>
      </c>
      <c r="L84" s="41">
        <v>1</v>
      </c>
      <c r="M84" s="41">
        <v>1</v>
      </c>
      <c r="N84" s="41">
        <v>1</v>
      </c>
      <c r="O84" s="41">
        <v>1</v>
      </c>
      <c r="P84" s="41">
        <v>1</v>
      </c>
      <c r="Q84" s="41">
        <v>1</v>
      </c>
      <c r="R84" s="41">
        <v>1</v>
      </c>
      <c r="S84" s="41">
        <v>1</v>
      </c>
      <c r="T84" s="41">
        <v>1</v>
      </c>
      <c r="U84" s="41">
        <v>1</v>
      </c>
      <c r="V84" s="41">
        <v>1</v>
      </c>
      <c r="W84" s="18">
        <v>0</v>
      </c>
      <c r="X84" s="40">
        <v>0</v>
      </c>
      <c r="Y84" s="40">
        <v>0</v>
      </c>
      <c r="Z84" s="40">
        <v>0</v>
      </c>
    </row>
    <row r="85" spans="1:26" ht="16.8" x14ac:dyDescent="0.3">
      <c r="A85" s="80"/>
      <c r="B85" s="60"/>
      <c r="C85" s="61" t="s">
        <v>236</v>
      </c>
      <c r="D85" s="62" t="s">
        <v>236</v>
      </c>
      <c r="E85" s="65" t="s">
        <v>39</v>
      </c>
      <c r="F85" s="66" t="s">
        <v>39</v>
      </c>
      <c r="G85" s="41">
        <v>1</v>
      </c>
      <c r="H85" s="41">
        <v>1</v>
      </c>
      <c r="I85" s="41">
        <v>1</v>
      </c>
      <c r="J85" s="41">
        <v>1</v>
      </c>
      <c r="K85" s="41">
        <v>1</v>
      </c>
      <c r="L85" s="41">
        <v>1</v>
      </c>
      <c r="M85" s="41">
        <v>1</v>
      </c>
      <c r="N85" s="41">
        <v>1</v>
      </c>
      <c r="O85" s="41">
        <v>1</v>
      </c>
      <c r="P85" s="41">
        <v>1</v>
      </c>
      <c r="Q85" s="41">
        <v>1</v>
      </c>
      <c r="R85" s="41">
        <v>1</v>
      </c>
      <c r="S85" s="41">
        <v>1</v>
      </c>
      <c r="T85" s="41">
        <v>1</v>
      </c>
      <c r="U85" s="41">
        <v>1</v>
      </c>
      <c r="V85" s="41">
        <v>1</v>
      </c>
      <c r="W85" s="18">
        <v>0</v>
      </c>
      <c r="X85" s="40">
        <v>0</v>
      </c>
      <c r="Y85" s="40">
        <v>0</v>
      </c>
      <c r="Z85" s="40">
        <v>0</v>
      </c>
    </row>
    <row r="86" spans="1:26" ht="16.8" customHeight="1" x14ac:dyDescent="0.3">
      <c r="A86" s="80"/>
      <c r="B86" s="60"/>
      <c r="C86" s="61" t="s">
        <v>68</v>
      </c>
      <c r="D86" s="62" t="s">
        <v>68</v>
      </c>
      <c r="E86" s="65" t="s">
        <v>49</v>
      </c>
      <c r="F86" s="66" t="s">
        <v>49</v>
      </c>
      <c r="G86" s="41">
        <v>1.5</v>
      </c>
      <c r="H86" s="41">
        <v>1.5</v>
      </c>
      <c r="I86" s="41">
        <v>1.5</v>
      </c>
      <c r="J86" s="41">
        <v>1.5</v>
      </c>
      <c r="K86" s="41">
        <v>1.5</v>
      </c>
      <c r="L86" s="41">
        <v>1.5</v>
      </c>
      <c r="M86" s="41">
        <v>1.5</v>
      </c>
      <c r="N86" s="41">
        <v>1.5</v>
      </c>
      <c r="O86" s="41">
        <v>1.5</v>
      </c>
      <c r="P86" s="41">
        <v>1.5</v>
      </c>
      <c r="Q86" s="41">
        <v>1.5</v>
      </c>
      <c r="R86" s="41">
        <v>1.5</v>
      </c>
      <c r="S86" s="41">
        <v>1.5</v>
      </c>
      <c r="T86" s="41">
        <v>1.5</v>
      </c>
      <c r="U86" s="41">
        <v>1.5</v>
      </c>
      <c r="V86" s="41">
        <v>1.5</v>
      </c>
      <c r="W86" s="18">
        <v>0</v>
      </c>
      <c r="X86" s="40">
        <v>0</v>
      </c>
      <c r="Y86" s="40">
        <v>0</v>
      </c>
      <c r="Z86" s="40">
        <v>0</v>
      </c>
    </row>
    <row r="87" spans="1:26" ht="16.8" x14ac:dyDescent="0.3">
      <c r="A87" s="80"/>
      <c r="B87" s="59"/>
      <c r="C87" s="61" t="s">
        <v>69</v>
      </c>
      <c r="D87" s="62" t="s">
        <v>69</v>
      </c>
      <c r="E87" s="65" t="s">
        <v>38</v>
      </c>
      <c r="F87" s="66" t="s">
        <v>38</v>
      </c>
      <c r="G87" s="41">
        <v>1</v>
      </c>
      <c r="H87" s="41">
        <v>1</v>
      </c>
      <c r="I87" s="41">
        <v>1</v>
      </c>
      <c r="J87" s="41">
        <v>1</v>
      </c>
      <c r="K87" s="41">
        <v>1</v>
      </c>
      <c r="L87" s="41">
        <v>1</v>
      </c>
      <c r="M87" s="41">
        <v>1</v>
      </c>
      <c r="N87" s="41">
        <v>1</v>
      </c>
      <c r="O87" s="41">
        <v>1</v>
      </c>
      <c r="P87" s="41">
        <v>1</v>
      </c>
      <c r="Q87" s="41">
        <v>1</v>
      </c>
      <c r="R87" s="41">
        <v>1</v>
      </c>
      <c r="S87" s="41">
        <v>1</v>
      </c>
      <c r="T87" s="41">
        <v>1</v>
      </c>
      <c r="U87" s="41">
        <v>1</v>
      </c>
      <c r="V87" s="41">
        <v>1</v>
      </c>
      <c r="W87" s="18">
        <v>0</v>
      </c>
      <c r="X87" s="40">
        <v>0</v>
      </c>
      <c r="Y87" s="40">
        <v>0</v>
      </c>
      <c r="Z87" s="40">
        <v>0</v>
      </c>
    </row>
    <row r="88" spans="1:26" ht="16.8" customHeight="1" x14ac:dyDescent="0.3">
      <c r="A88" s="80"/>
      <c r="B88" s="58" t="s">
        <v>199</v>
      </c>
      <c r="C88" s="61" t="s">
        <v>237</v>
      </c>
      <c r="D88" s="62" t="s">
        <v>237</v>
      </c>
      <c r="E88" s="65" t="s">
        <v>45</v>
      </c>
      <c r="F88" s="66" t="s">
        <v>45</v>
      </c>
      <c r="G88" s="41">
        <v>2.5</v>
      </c>
      <c r="H88" s="41">
        <v>4.5</v>
      </c>
      <c r="I88" s="41">
        <v>2.5</v>
      </c>
      <c r="J88" s="41">
        <v>2.5</v>
      </c>
      <c r="K88" s="41">
        <v>2.5</v>
      </c>
      <c r="L88" s="41">
        <v>2.5</v>
      </c>
      <c r="M88" s="41">
        <v>2.5</v>
      </c>
      <c r="N88" s="41">
        <v>2.5</v>
      </c>
      <c r="O88" s="41">
        <v>2.5</v>
      </c>
      <c r="P88" s="41">
        <v>2.5</v>
      </c>
      <c r="Q88" s="41">
        <v>2.5</v>
      </c>
      <c r="R88" s="41">
        <v>2.5</v>
      </c>
      <c r="S88" s="41">
        <v>2.5</v>
      </c>
      <c r="T88" s="41">
        <v>2.5</v>
      </c>
      <c r="U88" s="41">
        <v>2.5</v>
      </c>
      <c r="V88" s="41">
        <v>2.5</v>
      </c>
      <c r="W88" s="41">
        <v>2.5</v>
      </c>
      <c r="X88" s="18">
        <v>0</v>
      </c>
      <c r="Y88" s="40">
        <v>0</v>
      </c>
      <c r="Z88" s="40">
        <v>0</v>
      </c>
    </row>
    <row r="89" spans="1:26" ht="16.8" customHeight="1" x14ac:dyDescent="0.3">
      <c r="A89" s="80"/>
      <c r="B89" s="60"/>
      <c r="C89" s="47"/>
      <c r="D89" s="48"/>
      <c r="E89" s="51"/>
      <c r="F89" s="52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2">
        <v>2</v>
      </c>
      <c r="Y89" s="40"/>
      <c r="Z89" s="40"/>
    </row>
    <row r="90" spans="1:26" ht="16.8" customHeight="1" x14ac:dyDescent="0.3">
      <c r="A90" s="80"/>
      <c r="B90" s="60"/>
      <c r="C90" s="61" t="s">
        <v>238</v>
      </c>
      <c r="D90" s="62" t="s">
        <v>238</v>
      </c>
      <c r="E90" s="65" t="s">
        <v>48</v>
      </c>
      <c r="F90" s="66" t="s">
        <v>48</v>
      </c>
      <c r="G90" s="41">
        <v>9</v>
      </c>
      <c r="H90" s="41">
        <v>9</v>
      </c>
      <c r="I90" s="41">
        <v>9</v>
      </c>
      <c r="J90" s="41">
        <v>9</v>
      </c>
      <c r="K90" s="41">
        <v>9</v>
      </c>
      <c r="L90" s="41">
        <v>9</v>
      </c>
      <c r="M90" s="41">
        <v>9</v>
      </c>
      <c r="N90" s="41">
        <v>9</v>
      </c>
      <c r="O90" s="41">
        <v>9</v>
      </c>
      <c r="P90" s="41">
        <v>9</v>
      </c>
      <c r="Q90" s="41">
        <v>9</v>
      </c>
      <c r="R90" s="41">
        <v>9</v>
      </c>
      <c r="S90" s="41">
        <v>9</v>
      </c>
      <c r="T90" s="41">
        <v>9</v>
      </c>
      <c r="U90" s="41">
        <v>9</v>
      </c>
      <c r="V90" s="41">
        <v>9</v>
      </c>
      <c r="W90" s="41">
        <v>9</v>
      </c>
      <c r="X90" s="18">
        <v>0</v>
      </c>
      <c r="Y90" s="40">
        <v>0</v>
      </c>
      <c r="Z90" s="40">
        <v>0</v>
      </c>
    </row>
    <row r="91" spans="1:26" ht="16.8" x14ac:dyDescent="0.3">
      <c r="A91" s="80"/>
      <c r="B91" s="60"/>
      <c r="C91" s="61" t="s">
        <v>239</v>
      </c>
      <c r="D91" s="62" t="s">
        <v>239</v>
      </c>
      <c r="E91" s="65" t="s">
        <v>35</v>
      </c>
      <c r="F91" s="66" t="s">
        <v>35</v>
      </c>
      <c r="G91" s="41">
        <v>1</v>
      </c>
      <c r="H91" s="41">
        <v>1</v>
      </c>
      <c r="I91" s="41">
        <v>1</v>
      </c>
      <c r="J91" s="41">
        <v>1</v>
      </c>
      <c r="K91" s="41">
        <v>1</v>
      </c>
      <c r="L91" s="41">
        <v>1</v>
      </c>
      <c r="M91" s="41">
        <v>1</v>
      </c>
      <c r="N91" s="41">
        <v>1</v>
      </c>
      <c r="O91" s="41">
        <v>1</v>
      </c>
      <c r="P91" s="41">
        <v>1</v>
      </c>
      <c r="Q91" s="41">
        <v>1</v>
      </c>
      <c r="R91" s="41">
        <v>1</v>
      </c>
      <c r="S91" s="41">
        <v>1</v>
      </c>
      <c r="T91" s="41">
        <v>1</v>
      </c>
      <c r="U91" s="41">
        <v>1</v>
      </c>
      <c r="V91" s="41">
        <v>1</v>
      </c>
      <c r="W91" s="41">
        <v>1</v>
      </c>
      <c r="X91" s="18">
        <v>0</v>
      </c>
      <c r="Y91" s="40">
        <v>0</v>
      </c>
      <c r="Z91" s="40">
        <v>0</v>
      </c>
    </row>
    <row r="92" spans="1:26" ht="16.8" x14ac:dyDescent="0.3">
      <c r="A92" s="80"/>
      <c r="B92" s="60"/>
      <c r="C92" s="61" t="s">
        <v>240</v>
      </c>
      <c r="D92" s="62" t="s">
        <v>240</v>
      </c>
      <c r="E92" s="65" t="s">
        <v>38</v>
      </c>
      <c r="F92" s="66" t="s">
        <v>38</v>
      </c>
      <c r="G92" s="41">
        <v>1</v>
      </c>
      <c r="H92" s="41">
        <v>1</v>
      </c>
      <c r="I92" s="41">
        <v>1</v>
      </c>
      <c r="J92" s="41">
        <v>1</v>
      </c>
      <c r="K92" s="41">
        <v>1</v>
      </c>
      <c r="L92" s="41">
        <v>1</v>
      </c>
      <c r="M92" s="41">
        <v>1</v>
      </c>
      <c r="N92" s="41">
        <v>1</v>
      </c>
      <c r="O92" s="41">
        <v>1</v>
      </c>
      <c r="P92" s="41">
        <v>1</v>
      </c>
      <c r="Q92" s="41">
        <v>1</v>
      </c>
      <c r="R92" s="41">
        <v>1</v>
      </c>
      <c r="S92" s="41">
        <v>1</v>
      </c>
      <c r="T92" s="41">
        <v>1</v>
      </c>
      <c r="U92" s="41">
        <v>1</v>
      </c>
      <c r="V92" s="41">
        <v>1</v>
      </c>
      <c r="W92" s="41">
        <v>1</v>
      </c>
      <c r="X92" s="18">
        <v>0</v>
      </c>
      <c r="Y92" s="40">
        <v>0</v>
      </c>
      <c r="Z92" s="40">
        <v>0</v>
      </c>
    </row>
    <row r="93" spans="1:26" ht="16.8" customHeight="1" x14ac:dyDescent="0.3">
      <c r="A93" s="80"/>
      <c r="B93" s="60"/>
      <c r="C93" s="61" t="s">
        <v>68</v>
      </c>
      <c r="D93" s="62" t="s">
        <v>68</v>
      </c>
      <c r="E93" s="65" t="s">
        <v>48</v>
      </c>
      <c r="F93" s="66" t="s">
        <v>48</v>
      </c>
      <c r="G93" s="41">
        <v>1.5</v>
      </c>
      <c r="H93" s="41">
        <v>1.5</v>
      </c>
      <c r="I93" s="41">
        <v>1.5</v>
      </c>
      <c r="J93" s="41">
        <v>1.5</v>
      </c>
      <c r="K93" s="41">
        <v>1.5</v>
      </c>
      <c r="L93" s="41">
        <v>1.5</v>
      </c>
      <c r="M93" s="41">
        <v>1.5</v>
      </c>
      <c r="N93" s="41">
        <v>1.5</v>
      </c>
      <c r="O93" s="41">
        <v>1.5</v>
      </c>
      <c r="P93" s="41">
        <v>1.5</v>
      </c>
      <c r="Q93" s="41">
        <v>1.5</v>
      </c>
      <c r="R93" s="41">
        <v>1.5</v>
      </c>
      <c r="S93" s="41">
        <v>1.5</v>
      </c>
      <c r="T93" s="41">
        <v>1.5</v>
      </c>
      <c r="U93" s="41">
        <v>1.5</v>
      </c>
      <c r="V93" s="41">
        <v>1.5</v>
      </c>
      <c r="W93" s="41">
        <v>1.5</v>
      </c>
      <c r="X93" s="18">
        <v>0</v>
      </c>
      <c r="Y93" s="40">
        <v>0</v>
      </c>
      <c r="Z93" s="40">
        <v>0</v>
      </c>
    </row>
    <row r="94" spans="1:26" ht="16.8" x14ac:dyDescent="0.3">
      <c r="A94" s="80"/>
      <c r="B94" s="59"/>
      <c r="C94" s="61" t="s">
        <v>69</v>
      </c>
      <c r="D94" s="62" t="s">
        <v>69</v>
      </c>
      <c r="E94" s="65" t="s">
        <v>37</v>
      </c>
      <c r="F94" s="66" t="s">
        <v>37</v>
      </c>
      <c r="G94" s="41">
        <v>1</v>
      </c>
      <c r="H94" s="41">
        <v>1</v>
      </c>
      <c r="I94" s="41">
        <v>1</v>
      </c>
      <c r="J94" s="41">
        <v>1</v>
      </c>
      <c r="K94" s="41">
        <v>1</v>
      </c>
      <c r="L94" s="41">
        <v>1</v>
      </c>
      <c r="M94" s="41">
        <v>1</v>
      </c>
      <c r="N94" s="41">
        <v>1</v>
      </c>
      <c r="O94" s="41">
        <v>1</v>
      </c>
      <c r="P94" s="41">
        <v>1</v>
      </c>
      <c r="Q94" s="41">
        <v>1</v>
      </c>
      <c r="R94" s="41">
        <v>1</v>
      </c>
      <c r="S94" s="41">
        <v>1</v>
      </c>
      <c r="T94" s="41">
        <v>1</v>
      </c>
      <c r="U94" s="41">
        <v>1</v>
      </c>
      <c r="V94" s="41">
        <v>1</v>
      </c>
      <c r="W94" s="41">
        <v>1</v>
      </c>
      <c r="X94" s="18">
        <v>0</v>
      </c>
      <c r="Y94" s="40">
        <v>0</v>
      </c>
      <c r="Z94" s="40">
        <v>0</v>
      </c>
    </row>
    <row r="95" spans="1:26" ht="16.8" customHeight="1" x14ac:dyDescent="0.3">
      <c r="A95" s="80"/>
      <c r="B95" s="58" t="s">
        <v>200</v>
      </c>
      <c r="C95" s="61" t="s">
        <v>241</v>
      </c>
      <c r="D95" s="62" t="s">
        <v>241</v>
      </c>
      <c r="E95" s="65" t="s">
        <v>44</v>
      </c>
      <c r="F95" s="66" t="s">
        <v>44</v>
      </c>
      <c r="G95" s="41">
        <v>2.5</v>
      </c>
      <c r="H95" s="41">
        <v>4.5</v>
      </c>
      <c r="I95" s="41">
        <v>2.5</v>
      </c>
      <c r="J95" s="41">
        <v>2.5</v>
      </c>
      <c r="K95" s="41">
        <v>2.5</v>
      </c>
      <c r="L95" s="41">
        <v>2.5</v>
      </c>
      <c r="M95" s="41">
        <v>2.5</v>
      </c>
      <c r="N95" s="41">
        <v>2.5</v>
      </c>
      <c r="O95" s="41">
        <v>2.5</v>
      </c>
      <c r="P95" s="41">
        <v>2.5</v>
      </c>
      <c r="Q95" s="41">
        <v>2.5</v>
      </c>
      <c r="R95" s="41">
        <v>2.5</v>
      </c>
      <c r="S95" s="41">
        <v>2.5</v>
      </c>
      <c r="T95" s="41">
        <v>2.5</v>
      </c>
      <c r="U95" s="41">
        <v>2.5</v>
      </c>
      <c r="V95" s="41">
        <v>2.5</v>
      </c>
      <c r="W95" s="41">
        <v>2.5</v>
      </c>
      <c r="X95" s="41">
        <v>2.5</v>
      </c>
      <c r="Y95" s="18">
        <v>0</v>
      </c>
      <c r="Z95" s="40">
        <v>0</v>
      </c>
    </row>
    <row r="96" spans="1:26" ht="16.8" customHeight="1" x14ac:dyDescent="0.3">
      <c r="A96" s="80"/>
      <c r="B96" s="60"/>
      <c r="C96" s="47"/>
      <c r="D96" s="48"/>
      <c r="E96" s="51"/>
      <c r="F96" s="52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2">
        <v>2</v>
      </c>
      <c r="Z96" s="40"/>
    </row>
    <row r="97" spans="1:26" ht="16.8" customHeight="1" x14ac:dyDescent="0.3">
      <c r="A97" s="80"/>
      <c r="B97" s="60"/>
      <c r="C97" s="61" t="s">
        <v>242</v>
      </c>
      <c r="D97" s="62" t="s">
        <v>242</v>
      </c>
      <c r="E97" s="65" t="s">
        <v>46</v>
      </c>
      <c r="F97" s="66" t="s">
        <v>46</v>
      </c>
      <c r="G97" s="41">
        <v>9</v>
      </c>
      <c r="H97" s="41">
        <v>9</v>
      </c>
      <c r="I97" s="41">
        <v>9</v>
      </c>
      <c r="J97" s="41">
        <v>9</v>
      </c>
      <c r="K97" s="41">
        <v>9</v>
      </c>
      <c r="L97" s="41">
        <v>9</v>
      </c>
      <c r="M97" s="41">
        <v>9</v>
      </c>
      <c r="N97" s="41">
        <v>9</v>
      </c>
      <c r="O97" s="41">
        <v>9</v>
      </c>
      <c r="P97" s="41">
        <v>9</v>
      </c>
      <c r="Q97" s="41">
        <v>9</v>
      </c>
      <c r="R97" s="41">
        <v>9</v>
      </c>
      <c r="S97" s="41">
        <v>9</v>
      </c>
      <c r="T97" s="41">
        <v>9</v>
      </c>
      <c r="U97" s="41">
        <v>9</v>
      </c>
      <c r="V97" s="41">
        <v>9</v>
      </c>
      <c r="W97" s="41">
        <v>9</v>
      </c>
      <c r="X97" s="41">
        <v>9</v>
      </c>
      <c r="Y97" s="18">
        <v>0</v>
      </c>
      <c r="Z97" s="40">
        <v>0</v>
      </c>
    </row>
    <row r="98" spans="1:26" ht="16.8" x14ac:dyDescent="0.3">
      <c r="A98" s="80"/>
      <c r="B98" s="60"/>
      <c r="C98" s="61" t="s">
        <v>243</v>
      </c>
      <c r="D98" s="62" t="s">
        <v>243</v>
      </c>
      <c r="E98" s="65" t="s">
        <v>36</v>
      </c>
      <c r="F98" s="66" t="s">
        <v>36</v>
      </c>
      <c r="G98" s="41">
        <v>1</v>
      </c>
      <c r="H98" s="41">
        <v>1</v>
      </c>
      <c r="I98" s="41">
        <v>1</v>
      </c>
      <c r="J98" s="41">
        <v>1</v>
      </c>
      <c r="K98" s="41">
        <v>1</v>
      </c>
      <c r="L98" s="41">
        <v>1</v>
      </c>
      <c r="M98" s="41">
        <v>1</v>
      </c>
      <c r="N98" s="41">
        <v>1</v>
      </c>
      <c r="O98" s="41">
        <v>1</v>
      </c>
      <c r="P98" s="41">
        <v>1</v>
      </c>
      <c r="Q98" s="41">
        <v>1</v>
      </c>
      <c r="R98" s="41">
        <v>1</v>
      </c>
      <c r="S98" s="41">
        <v>1</v>
      </c>
      <c r="T98" s="41">
        <v>1</v>
      </c>
      <c r="U98" s="41">
        <v>1</v>
      </c>
      <c r="V98" s="41">
        <v>1</v>
      </c>
      <c r="W98" s="41">
        <v>1</v>
      </c>
      <c r="X98" s="41">
        <v>1</v>
      </c>
      <c r="Y98" s="18">
        <v>0</v>
      </c>
      <c r="Z98" s="40">
        <v>0</v>
      </c>
    </row>
    <row r="99" spans="1:26" ht="16.8" x14ac:dyDescent="0.3">
      <c r="A99" s="80"/>
      <c r="B99" s="60"/>
      <c r="C99" s="61" t="s">
        <v>244</v>
      </c>
      <c r="D99" s="62" t="s">
        <v>244</v>
      </c>
      <c r="E99" s="65" t="s">
        <v>39</v>
      </c>
      <c r="F99" s="66" t="s">
        <v>39</v>
      </c>
      <c r="G99" s="41">
        <v>1</v>
      </c>
      <c r="H99" s="41">
        <v>1</v>
      </c>
      <c r="I99" s="41">
        <v>1</v>
      </c>
      <c r="J99" s="41">
        <v>1</v>
      </c>
      <c r="K99" s="41">
        <v>1</v>
      </c>
      <c r="L99" s="41">
        <v>1</v>
      </c>
      <c r="M99" s="41">
        <v>1</v>
      </c>
      <c r="N99" s="41">
        <v>1</v>
      </c>
      <c r="O99" s="41">
        <v>1</v>
      </c>
      <c r="P99" s="41">
        <v>1</v>
      </c>
      <c r="Q99" s="41">
        <v>1</v>
      </c>
      <c r="R99" s="41">
        <v>1</v>
      </c>
      <c r="S99" s="41">
        <v>1</v>
      </c>
      <c r="T99" s="41">
        <v>1</v>
      </c>
      <c r="U99" s="41">
        <v>1</v>
      </c>
      <c r="V99" s="41">
        <v>1</v>
      </c>
      <c r="W99" s="41">
        <v>1</v>
      </c>
      <c r="X99" s="41">
        <v>1</v>
      </c>
      <c r="Y99" s="18">
        <v>0</v>
      </c>
      <c r="Z99" s="40">
        <v>0</v>
      </c>
    </row>
    <row r="100" spans="1:26" ht="16.8" customHeight="1" x14ac:dyDescent="0.3">
      <c r="A100" s="80"/>
      <c r="B100" s="60"/>
      <c r="C100" s="61" t="s">
        <v>68</v>
      </c>
      <c r="D100" s="62" t="s">
        <v>68</v>
      </c>
      <c r="E100" s="65" t="s">
        <v>46</v>
      </c>
      <c r="F100" s="66" t="s">
        <v>46</v>
      </c>
      <c r="G100" s="41">
        <v>1.5</v>
      </c>
      <c r="H100" s="41">
        <v>1.5</v>
      </c>
      <c r="I100" s="41">
        <v>1.5</v>
      </c>
      <c r="J100" s="41">
        <v>1.5</v>
      </c>
      <c r="K100" s="41">
        <v>1.5</v>
      </c>
      <c r="L100" s="41">
        <v>1.5</v>
      </c>
      <c r="M100" s="41">
        <v>1.5</v>
      </c>
      <c r="N100" s="41">
        <v>1.5</v>
      </c>
      <c r="O100" s="41">
        <v>1.5</v>
      </c>
      <c r="P100" s="41">
        <v>1.5</v>
      </c>
      <c r="Q100" s="41">
        <v>1.5</v>
      </c>
      <c r="R100" s="41">
        <v>1.5</v>
      </c>
      <c r="S100" s="41">
        <v>1.5</v>
      </c>
      <c r="T100" s="41">
        <v>1.5</v>
      </c>
      <c r="U100" s="41">
        <v>1.5</v>
      </c>
      <c r="V100" s="41">
        <v>1.5</v>
      </c>
      <c r="W100" s="41">
        <v>1.5</v>
      </c>
      <c r="X100" s="41">
        <v>1.5</v>
      </c>
      <c r="Y100" s="18">
        <v>0</v>
      </c>
      <c r="Z100" s="40">
        <v>0</v>
      </c>
    </row>
    <row r="101" spans="1:26" ht="16.8" x14ac:dyDescent="0.3">
      <c r="A101" s="80"/>
      <c r="B101" s="59"/>
      <c r="C101" s="61" t="s">
        <v>69</v>
      </c>
      <c r="D101" s="62" t="s">
        <v>69</v>
      </c>
      <c r="E101" s="65" t="s">
        <v>37</v>
      </c>
      <c r="F101" s="66" t="s">
        <v>37</v>
      </c>
      <c r="G101" s="41">
        <v>1</v>
      </c>
      <c r="H101" s="41">
        <v>1</v>
      </c>
      <c r="I101" s="41">
        <v>1</v>
      </c>
      <c r="J101" s="41">
        <v>1</v>
      </c>
      <c r="K101" s="41">
        <v>1</v>
      </c>
      <c r="L101" s="41">
        <v>1</v>
      </c>
      <c r="M101" s="41">
        <v>1</v>
      </c>
      <c r="N101" s="41">
        <v>1</v>
      </c>
      <c r="O101" s="41">
        <v>1</v>
      </c>
      <c r="P101" s="41">
        <v>1</v>
      </c>
      <c r="Q101" s="41">
        <v>1</v>
      </c>
      <c r="R101" s="41">
        <v>1</v>
      </c>
      <c r="S101" s="41">
        <v>1</v>
      </c>
      <c r="T101" s="41">
        <v>1</v>
      </c>
      <c r="U101" s="41">
        <v>1</v>
      </c>
      <c r="V101" s="41">
        <v>1</v>
      </c>
      <c r="W101" s="41">
        <v>1</v>
      </c>
      <c r="X101" s="41">
        <v>1</v>
      </c>
      <c r="Y101" s="18">
        <v>0</v>
      </c>
      <c r="Z101" s="40">
        <v>0</v>
      </c>
    </row>
    <row r="102" spans="1:26" ht="16.8" x14ac:dyDescent="0.3">
      <c r="A102" s="80"/>
      <c r="B102" s="80" t="s">
        <v>245</v>
      </c>
      <c r="C102" s="88" t="s">
        <v>21</v>
      </c>
      <c r="D102" s="88"/>
      <c r="E102" s="85" t="s">
        <v>24</v>
      </c>
      <c r="F102" s="85"/>
      <c r="G102" s="40">
        <v>3</v>
      </c>
      <c r="H102" s="40">
        <v>3</v>
      </c>
      <c r="I102" s="40">
        <v>3</v>
      </c>
      <c r="J102" s="40">
        <v>3</v>
      </c>
      <c r="K102" s="40">
        <v>3</v>
      </c>
      <c r="L102" s="40">
        <v>3</v>
      </c>
      <c r="M102" s="40">
        <v>3</v>
      </c>
      <c r="N102" s="40">
        <v>3</v>
      </c>
      <c r="O102" s="40">
        <v>3</v>
      </c>
      <c r="P102" s="40">
        <v>3</v>
      </c>
      <c r="Q102" s="40">
        <v>3</v>
      </c>
      <c r="R102" s="40">
        <v>3</v>
      </c>
      <c r="S102" s="40">
        <v>3</v>
      </c>
      <c r="T102" s="40">
        <v>3</v>
      </c>
      <c r="U102" s="40">
        <v>3</v>
      </c>
      <c r="V102" s="40">
        <v>3</v>
      </c>
      <c r="W102" s="40">
        <v>3</v>
      </c>
      <c r="X102" s="40">
        <v>3</v>
      </c>
      <c r="Y102" s="40">
        <v>3</v>
      </c>
      <c r="Z102" s="18">
        <v>0</v>
      </c>
    </row>
    <row r="103" spans="1:26" ht="16.8" x14ac:dyDescent="0.3">
      <c r="A103" s="80"/>
      <c r="B103" s="80"/>
      <c r="C103" s="88" t="s">
        <v>22</v>
      </c>
      <c r="D103" s="88"/>
      <c r="E103" s="85" t="s">
        <v>24</v>
      </c>
      <c r="F103" s="85"/>
      <c r="G103" s="40">
        <v>1.5</v>
      </c>
      <c r="H103" s="40">
        <v>1.5</v>
      </c>
      <c r="I103" s="40">
        <v>1.5</v>
      </c>
      <c r="J103" s="40">
        <v>1.5</v>
      </c>
      <c r="K103" s="40">
        <v>1.5</v>
      </c>
      <c r="L103" s="40">
        <v>1.5</v>
      </c>
      <c r="M103" s="40">
        <v>1.5</v>
      </c>
      <c r="N103" s="40">
        <v>1.5</v>
      </c>
      <c r="O103" s="40">
        <v>1.5</v>
      </c>
      <c r="P103" s="40">
        <v>1.5</v>
      </c>
      <c r="Q103" s="40">
        <v>1.5</v>
      </c>
      <c r="R103" s="40">
        <v>1.5</v>
      </c>
      <c r="S103" s="40">
        <v>1.5</v>
      </c>
      <c r="T103" s="40">
        <v>1.5</v>
      </c>
      <c r="U103" s="40">
        <v>1.5</v>
      </c>
      <c r="V103" s="40">
        <v>1.5</v>
      </c>
      <c r="W103" s="40">
        <v>1.5</v>
      </c>
      <c r="X103" s="40">
        <v>1.5</v>
      </c>
      <c r="Y103" s="40">
        <v>1.5</v>
      </c>
      <c r="Z103" s="18">
        <v>0</v>
      </c>
    </row>
    <row r="104" spans="1:26" ht="16.8" x14ac:dyDescent="0.3">
      <c r="A104" s="80"/>
      <c r="B104" s="91" t="s">
        <v>12</v>
      </c>
      <c r="C104" s="92"/>
      <c r="D104" s="93"/>
      <c r="E104" s="69" t="s">
        <v>11</v>
      </c>
      <c r="F104" s="69"/>
      <c r="G104" s="86">
        <f>SUM(H16:H103)</f>
        <v>239</v>
      </c>
      <c r="H104" s="87"/>
      <c r="I104" s="44">
        <f>SUM(I16:I103)</f>
        <v>225</v>
      </c>
      <c r="J104" s="45">
        <f>SUM(J20:J103)</f>
        <v>220.5</v>
      </c>
      <c r="K104" s="45">
        <f>SUM(K23:K103)</f>
        <v>201.5</v>
      </c>
      <c r="L104" s="45">
        <f>SUM(L26:L103)+M27+M31</f>
        <v>199.5</v>
      </c>
      <c r="M104" s="45">
        <f>SUM(M34:M103)</f>
        <v>180.5</v>
      </c>
      <c r="N104" s="45">
        <f>SUM(N37:N103)</f>
        <v>161.5</v>
      </c>
      <c r="O104" s="45">
        <f>SUM(O40:O103)+P41+P43</f>
        <v>159.5</v>
      </c>
      <c r="P104" s="45">
        <f>SUM(P48:P103)+Q50</f>
        <v>136.5</v>
      </c>
      <c r="Q104" s="45">
        <f>SUM(Q55:Q103)+R56</f>
        <v>120.5</v>
      </c>
      <c r="R104" s="45">
        <f>SUM(R59:R103)</f>
        <v>105.5</v>
      </c>
      <c r="S104" s="45">
        <f>SUM(S62:S103)+T63</f>
        <v>101.5</v>
      </c>
      <c r="T104" s="45">
        <f>SUM(T69:T103)</f>
        <v>84.5</v>
      </c>
      <c r="U104" s="45">
        <f t="shared" ref="U104" si="0">SUM(U40:U103)+V41+V43</f>
        <v>68.5</v>
      </c>
      <c r="V104" s="45">
        <f>SUM(V82:V103)</f>
        <v>52.5</v>
      </c>
      <c r="W104" s="45">
        <f>SUM(W88:W103)+X89</f>
        <v>38.5</v>
      </c>
      <c r="X104" s="45">
        <f>SUM(X95:X103)+Y96</f>
        <v>22.5</v>
      </c>
      <c r="Y104" s="45">
        <f>SUM(Y102:Y103)</f>
        <v>4.5</v>
      </c>
      <c r="Z104" s="45">
        <f t="shared" ref="Z104" si="1">SUM(Z20:Z103)</f>
        <v>0</v>
      </c>
    </row>
    <row r="105" spans="1:26" ht="16.8" x14ac:dyDescent="0.3">
      <c r="A105" s="80"/>
      <c r="B105" s="94"/>
      <c r="C105" s="95"/>
      <c r="D105" s="96"/>
      <c r="E105" s="69" t="s">
        <v>25</v>
      </c>
      <c r="F105" s="69"/>
      <c r="G105" s="86">
        <f>SUM(G16:G103)</f>
        <v>225</v>
      </c>
      <c r="H105" s="87"/>
      <c r="I105" s="45">
        <f>SUM(I16:I103)</f>
        <v>225</v>
      </c>
      <c r="J105" s="45">
        <f>SUM(J20:J103)</f>
        <v>220.5</v>
      </c>
      <c r="K105" s="45">
        <f>SUM(K23:K103)</f>
        <v>201.5</v>
      </c>
      <c r="L105" s="45">
        <f>SUM(L26:L103)</f>
        <v>196.5</v>
      </c>
      <c r="M105" s="45">
        <f>SUM(M34:M103)</f>
        <v>180.5</v>
      </c>
      <c r="N105" s="45">
        <f>SUM(N37:N103)</f>
        <v>161.5</v>
      </c>
      <c r="O105" s="45">
        <f>SUM(O40:O103)</f>
        <v>156.5</v>
      </c>
      <c r="P105" s="45">
        <f>SUM(P48:P103)</f>
        <v>135.5</v>
      </c>
      <c r="Q105" s="45">
        <f>SUM(Q55:Q103)</f>
        <v>119.5</v>
      </c>
      <c r="R105" s="45">
        <f>SUM(R59:R103)</f>
        <v>105.5</v>
      </c>
      <c r="S105" s="45">
        <f>SUM(S62:S103)</f>
        <v>100.5</v>
      </c>
      <c r="T105" s="45">
        <f>SUM(T69:T103)</f>
        <v>84.5</v>
      </c>
      <c r="U105" s="45">
        <f>SUM(U75:U103)</f>
        <v>68.5</v>
      </c>
      <c r="V105" s="45">
        <f>SUM(V82:V103)</f>
        <v>52.5</v>
      </c>
      <c r="W105" s="45">
        <f>SUM(W88:W103)</f>
        <v>36.5</v>
      </c>
      <c r="X105" s="45">
        <f>SUM(X95:X103)</f>
        <v>20.5</v>
      </c>
      <c r="Y105" s="45">
        <f>SUM(Y102:Y103)</f>
        <v>4.5</v>
      </c>
      <c r="Z105" s="45">
        <f t="shared" ref="Z105" si="2">SUM(Z20:Z103)</f>
        <v>0</v>
      </c>
    </row>
  </sheetData>
  <mergeCells count="183">
    <mergeCell ref="E18:F18"/>
    <mergeCell ref="E19:F19"/>
    <mergeCell ref="C20:D20"/>
    <mergeCell ref="E20:F20"/>
    <mergeCell ref="C21:D21"/>
    <mergeCell ref="E21:F21"/>
    <mergeCell ref="C22:D22"/>
    <mergeCell ref="C15:D15"/>
    <mergeCell ref="E15:F15"/>
    <mergeCell ref="E16:F16"/>
    <mergeCell ref="E17:F17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E32:F32"/>
    <mergeCell ref="C33:D33"/>
    <mergeCell ref="E33:F33"/>
    <mergeCell ref="C34:D34"/>
    <mergeCell ref="E34:F34"/>
    <mergeCell ref="C35:D35"/>
    <mergeCell ref="E35:F35"/>
    <mergeCell ref="C36:D36"/>
    <mergeCell ref="C28:D28"/>
    <mergeCell ref="E28:F28"/>
    <mergeCell ref="C29:D29"/>
    <mergeCell ref="E29:F29"/>
    <mergeCell ref="C30:D30"/>
    <mergeCell ref="E30:F30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E46:F46"/>
    <mergeCell ref="C47:D47"/>
    <mergeCell ref="E47:F47"/>
    <mergeCell ref="C48:D48"/>
    <mergeCell ref="E48:F48"/>
    <mergeCell ref="C49:D49"/>
    <mergeCell ref="E49:F49"/>
    <mergeCell ref="C51:D51"/>
    <mergeCell ref="C42:D42"/>
    <mergeCell ref="E42:F42"/>
    <mergeCell ref="C44:D44"/>
    <mergeCell ref="E44:F44"/>
    <mergeCell ref="C45:D45"/>
    <mergeCell ref="E45:F45"/>
    <mergeCell ref="E57:F57"/>
    <mergeCell ref="C58:D58"/>
    <mergeCell ref="E58:F58"/>
    <mergeCell ref="C59:D59"/>
    <mergeCell ref="E59:F59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E75:F75"/>
    <mergeCell ref="C60:D60"/>
    <mergeCell ref="E60:F60"/>
    <mergeCell ref="C61:D61"/>
    <mergeCell ref="E61:F61"/>
    <mergeCell ref="C62:D62"/>
    <mergeCell ref="E62:F62"/>
    <mergeCell ref="C64:D64"/>
    <mergeCell ref="E64:F64"/>
    <mergeCell ref="C65:D65"/>
    <mergeCell ref="E69:F69"/>
    <mergeCell ref="E70:F70"/>
    <mergeCell ref="E71:F71"/>
    <mergeCell ref="E87:F87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A1:B1"/>
    <mergeCell ref="A2:B2"/>
    <mergeCell ref="A3:B3"/>
    <mergeCell ref="A4:B4"/>
    <mergeCell ref="B6:E6"/>
    <mergeCell ref="E84:F84"/>
    <mergeCell ref="C85:D85"/>
    <mergeCell ref="E85:F85"/>
    <mergeCell ref="C86:D86"/>
    <mergeCell ref="E86:F86"/>
    <mergeCell ref="C76:D76"/>
    <mergeCell ref="E76:F76"/>
    <mergeCell ref="C77:D77"/>
    <mergeCell ref="E77:F77"/>
    <mergeCell ref="C78:D78"/>
    <mergeCell ref="E78:F78"/>
    <mergeCell ref="E65:F65"/>
    <mergeCell ref="C66:D66"/>
    <mergeCell ref="E66:F66"/>
    <mergeCell ref="C67:D67"/>
    <mergeCell ref="E67:F67"/>
    <mergeCell ref="C68:D68"/>
    <mergeCell ref="E68:F68"/>
    <mergeCell ref="C75:D75"/>
    <mergeCell ref="B48:B54"/>
    <mergeCell ref="B55:B61"/>
    <mergeCell ref="B62:B68"/>
    <mergeCell ref="B75:B81"/>
    <mergeCell ref="B82:B87"/>
    <mergeCell ref="B88:B94"/>
    <mergeCell ref="B13:C13"/>
    <mergeCell ref="A16:A105"/>
    <mergeCell ref="B16:D16"/>
    <mergeCell ref="B17:D17"/>
    <mergeCell ref="B18:D18"/>
    <mergeCell ref="B19:D19"/>
    <mergeCell ref="B20:B25"/>
    <mergeCell ref="B26:B33"/>
    <mergeCell ref="B34:B39"/>
    <mergeCell ref="B40:B47"/>
    <mergeCell ref="C87:D87"/>
    <mergeCell ref="C57:D57"/>
    <mergeCell ref="C46:D46"/>
    <mergeCell ref="C32:D32"/>
    <mergeCell ref="B69:B74"/>
    <mergeCell ref="C69:D69"/>
    <mergeCell ref="C70:D70"/>
    <mergeCell ref="C71:D71"/>
    <mergeCell ref="C93:D93"/>
    <mergeCell ref="E93:F93"/>
    <mergeCell ref="C94:D94"/>
    <mergeCell ref="E94:F94"/>
    <mergeCell ref="B95:B101"/>
    <mergeCell ref="C72:D72"/>
    <mergeCell ref="E72:F72"/>
    <mergeCell ref="C73:D73"/>
    <mergeCell ref="E73:F73"/>
    <mergeCell ref="C74:D74"/>
    <mergeCell ref="E74:F74"/>
    <mergeCell ref="C88:D88"/>
    <mergeCell ref="C90:D90"/>
    <mergeCell ref="C91:D91"/>
    <mergeCell ref="E91:F91"/>
    <mergeCell ref="C92:D92"/>
    <mergeCell ref="E92:F92"/>
    <mergeCell ref="E88:F88"/>
    <mergeCell ref="E90:F90"/>
    <mergeCell ref="E98:F98"/>
    <mergeCell ref="C99:D99"/>
    <mergeCell ref="E99:F99"/>
    <mergeCell ref="C100:D100"/>
    <mergeCell ref="E100:F100"/>
    <mergeCell ref="G104:H104"/>
    <mergeCell ref="E105:F105"/>
    <mergeCell ref="G105:H105"/>
    <mergeCell ref="B104:D105"/>
    <mergeCell ref="E104:F104"/>
    <mergeCell ref="C95:D95"/>
    <mergeCell ref="E95:F95"/>
    <mergeCell ref="C97:D97"/>
    <mergeCell ref="E97:F97"/>
    <mergeCell ref="C98:D98"/>
    <mergeCell ref="B102:B103"/>
    <mergeCell ref="C102:D102"/>
    <mergeCell ref="E102:F102"/>
    <mergeCell ref="C103:D103"/>
    <mergeCell ref="E103:F103"/>
    <mergeCell ref="C101:D101"/>
    <mergeCell ref="E101:F10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3"/>
  <sheetViews>
    <sheetView workbookViewId="0">
      <selection activeCell="J3" sqref="J3"/>
    </sheetView>
  </sheetViews>
  <sheetFormatPr defaultRowHeight="14.4" x14ac:dyDescent="0.3"/>
  <cols>
    <col min="2" max="11" width="10" customWidth="1"/>
  </cols>
  <sheetData>
    <row r="1" spans="1:16" ht="16.8" x14ac:dyDescent="0.3">
      <c r="A1" s="101" t="s">
        <v>27</v>
      </c>
      <c r="B1" s="102"/>
      <c r="C1" s="102"/>
      <c r="D1" s="102"/>
      <c r="E1" s="102"/>
      <c r="F1" s="102"/>
      <c r="G1" s="102"/>
      <c r="H1" s="102"/>
      <c r="I1" s="102"/>
      <c r="J1" s="102"/>
      <c r="K1" s="103"/>
    </row>
    <row r="2" spans="1:16" ht="16.8" x14ac:dyDescent="0.3">
      <c r="A2" s="104"/>
      <c r="B2" s="105" t="s">
        <v>35</v>
      </c>
      <c r="C2" s="105"/>
      <c r="D2" s="105" t="s">
        <v>36</v>
      </c>
      <c r="E2" s="105"/>
      <c r="F2" s="105" t="s">
        <v>37</v>
      </c>
      <c r="G2" s="105"/>
      <c r="H2" s="105" t="s">
        <v>39</v>
      </c>
      <c r="I2" s="105"/>
      <c r="J2" s="105" t="s">
        <v>38</v>
      </c>
      <c r="K2" s="106"/>
    </row>
    <row r="3" spans="1:16" ht="16.8" x14ac:dyDescent="0.3">
      <c r="A3" s="104"/>
      <c r="B3" s="20" t="s">
        <v>11</v>
      </c>
      <c r="C3" s="20" t="s">
        <v>25</v>
      </c>
      <c r="D3" s="20" t="s">
        <v>11</v>
      </c>
      <c r="E3" s="20" t="s">
        <v>25</v>
      </c>
      <c r="F3" s="20" t="s">
        <v>11</v>
      </c>
      <c r="G3" s="20" t="s">
        <v>25</v>
      </c>
      <c r="H3" s="20" t="s">
        <v>11</v>
      </c>
      <c r="I3" s="20" t="s">
        <v>25</v>
      </c>
      <c r="J3" s="20" t="s">
        <v>11</v>
      </c>
      <c r="K3" s="21" t="s">
        <v>25</v>
      </c>
    </row>
    <row r="4" spans="1:16" ht="16.8" x14ac:dyDescent="0.3">
      <c r="A4" s="24" t="s">
        <v>4</v>
      </c>
      <c r="B4" s="22">
        <f>'Sprint 1'!$D$8</f>
        <v>50.25</v>
      </c>
      <c r="C4" s="22">
        <f>'Sprint 1'!$E$8</f>
        <v>50.25</v>
      </c>
      <c r="D4" s="22">
        <f>'Sprint 1'!$D$9</f>
        <v>59</v>
      </c>
      <c r="E4" s="22">
        <f>'Sprint 1'!$E$9</f>
        <v>57.5</v>
      </c>
      <c r="F4" s="22">
        <f>'Sprint 1'!$D$10</f>
        <v>45</v>
      </c>
      <c r="G4" s="22">
        <f>'Sprint 1'!$E$10</f>
        <v>43.5</v>
      </c>
      <c r="H4" s="22">
        <f>'Sprint 1'!$D$11</f>
        <v>47.5</v>
      </c>
      <c r="I4" s="22">
        <f>'Sprint 1'!$E$11</f>
        <v>45.5</v>
      </c>
      <c r="J4" s="22">
        <f>'Sprint 1'!$D$12</f>
        <v>39.25</v>
      </c>
      <c r="K4" s="22">
        <f>'Sprint 1'!$E$12</f>
        <v>37.25</v>
      </c>
    </row>
    <row r="5" spans="1:16" ht="16.8" x14ac:dyDescent="0.3">
      <c r="A5" s="24" t="s">
        <v>18</v>
      </c>
      <c r="B5" s="22">
        <f>'Sprint 2'!$D$8</f>
        <v>49.5</v>
      </c>
      <c r="C5" s="22">
        <f>'Sprint 2'!$E$8</f>
        <v>49.55</v>
      </c>
      <c r="D5" s="22">
        <f>'Sprint 2'!$D$9</f>
        <v>54.75</v>
      </c>
      <c r="E5" s="22">
        <f>'Sprint 2'!$E$9</f>
        <v>54.55</v>
      </c>
      <c r="F5" s="22">
        <f>'Sprint 2'!$D$10</f>
        <v>40.25</v>
      </c>
      <c r="G5" s="22">
        <f>'Sprint 2'!$E$10</f>
        <v>38.299999999999997</v>
      </c>
      <c r="H5" s="22">
        <f>'Sprint 2'!$D$11</f>
        <v>44.5</v>
      </c>
      <c r="I5" s="22">
        <f>'Sprint 2'!$E$11</f>
        <v>44.8</v>
      </c>
      <c r="J5" s="22">
        <f>'Sprint 2'!$D$12</f>
        <v>38</v>
      </c>
      <c r="K5" s="22">
        <f>'Sprint 2'!$E$12</f>
        <v>37.799999999999997</v>
      </c>
      <c r="P5" s="34"/>
    </row>
    <row r="6" spans="1:16" ht="16.8" x14ac:dyDescent="0.3">
      <c r="A6" s="24" t="s">
        <v>186</v>
      </c>
      <c r="B6" s="22">
        <f>'Sprint 3'!$D$8</f>
        <v>75.05</v>
      </c>
      <c r="C6" s="22">
        <f>'Sprint 3'!$E$8</f>
        <v>74.55</v>
      </c>
      <c r="D6" s="22">
        <f>'Sprint 3'!$D$9</f>
        <v>40.299999999999997</v>
      </c>
      <c r="E6" s="22">
        <f>'Sprint 3'!$E$9</f>
        <v>39.299999999999997</v>
      </c>
      <c r="F6" s="22">
        <f>'Sprint 3'!$D$10</f>
        <v>41.8</v>
      </c>
      <c r="G6" s="22">
        <f>'Sprint 3'!$E$10</f>
        <v>35.799999999999997</v>
      </c>
      <c r="H6" s="22">
        <f>'Sprint 3'!$D$11</f>
        <v>37.049999999999997</v>
      </c>
      <c r="I6" s="22">
        <f>'Sprint 3'!$E$11</f>
        <v>33.549999999999997</v>
      </c>
      <c r="J6" s="22">
        <f>'Sprint 3'!$D$12</f>
        <v>44.8</v>
      </c>
      <c r="K6" s="22">
        <f>'Sprint 3'!$E$12</f>
        <v>41.8</v>
      </c>
      <c r="P6" s="34"/>
    </row>
    <row r="7" spans="1:16" ht="17.399999999999999" thickBot="1" x14ac:dyDescent="0.35">
      <c r="A7" s="25" t="s">
        <v>12</v>
      </c>
      <c r="B7" s="23">
        <f t="shared" ref="B7:K7" si="0">SUM(B4:B6)</f>
        <v>174.8</v>
      </c>
      <c r="C7" s="23">
        <f t="shared" si="0"/>
        <v>174.35</v>
      </c>
      <c r="D7" s="23">
        <f t="shared" si="0"/>
        <v>154.05000000000001</v>
      </c>
      <c r="E7" s="23">
        <f t="shared" si="0"/>
        <v>151.35</v>
      </c>
      <c r="F7" s="23">
        <f t="shared" si="0"/>
        <v>127.05</v>
      </c>
      <c r="G7" s="23">
        <f t="shared" si="0"/>
        <v>117.6</v>
      </c>
      <c r="H7" s="23">
        <f t="shared" si="0"/>
        <v>129.05000000000001</v>
      </c>
      <c r="I7" s="23">
        <f t="shared" si="0"/>
        <v>123.85</v>
      </c>
      <c r="J7" s="23">
        <f t="shared" si="0"/>
        <v>122.05</v>
      </c>
      <c r="K7" s="23">
        <f t="shared" si="0"/>
        <v>116.85</v>
      </c>
      <c r="P7" s="32"/>
    </row>
    <row r="8" spans="1:16" ht="16.8" x14ac:dyDescent="0.3">
      <c r="P8" s="34"/>
    </row>
    <row r="9" spans="1:16" ht="17.399999999999999" thickBot="1" x14ac:dyDescent="0.35">
      <c r="P9" s="32"/>
    </row>
    <row r="10" spans="1:16" ht="16.8" x14ac:dyDescent="0.3">
      <c r="E10" s="99" t="s">
        <v>28</v>
      </c>
      <c r="F10" s="100"/>
      <c r="P10" s="32"/>
    </row>
    <row r="11" spans="1:16" ht="16.8" x14ac:dyDescent="0.3">
      <c r="E11" s="26" t="s">
        <v>11</v>
      </c>
      <c r="F11" s="27">
        <f>SUMIF($B$3:$K$3,"Thực tế",$B$7:$K$7)</f>
        <v>707</v>
      </c>
      <c r="P11" s="32"/>
    </row>
    <row r="12" spans="1:16" ht="17.399999999999999" thickBot="1" x14ac:dyDescent="0.35">
      <c r="E12" s="28" t="s">
        <v>25</v>
      </c>
      <c r="F12" s="29">
        <f>SUMIF($B$3:$K$3,"Ước tính",$B$7:$K$7)</f>
        <v>684</v>
      </c>
      <c r="P12" s="32"/>
    </row>
    <row r="13" spans="1:16" ht="16.8" x14ac:dyDescent="0.3">
      <c r="P13" s="32"/>
    </row>
    <row r="14" spans="1:16" ht="16.8" x14ac:dyDescent="0.3">
      <c r="P14" s="32"/>
    </row>
    <row r="15" spans="1:16" ht="16.8" x14ac:dyDescent="0.3">
      <c r="P15" s="34"/>
    </row>
    <row r="16" spans="1:16" ht="16.8" x14ac:dyDescent="0.3">
      <c r="P16" s="32"/>
    </row>
    <row r="17" spans="16:16" ht="16.8" x14ac:dyDescent="0.3">
      <c r="P17" s="32"/>
    </row>
    <row r="18" spans="16:16" ht="16.8" x14ac:dyDescent="0.3">
      <c r="P18" s="32"/>
    </row>
    <row r="19" spans="16:16" ht="16.8" x14ac:dyDescent="0.3">
      <c r="P19" s="32"/>
    </row>
    <row r="20" spans="16:16" ht="16.8" x14ac:dyDescent="0.3">
      <c r="P20" s="34"/>
    </row>
    <row r="21" spans="16:16" ht="16.8" x14ac:dyDescent="0.3">
      <c r="P21" s="32"/>
    </row>
    <row r="22" spans="16:16" ht="16.8" x14ac:dyDescent="0.3">
      <c r="P22" s="32"/>
    </row>
    <row r="23" spans="16:16" ht="16.8" x14ac:dyDescent="0.3">
      <c r="P23" s="32"/>
    </row>
    <row r="24" spans="16:16" ht="16.8" x14ac:dyDescent="0.3">
      <c r="P24" s="32"/>
    </row>
    <row r="25" spans="16:16" ht="16.8" x14ac:dyDescent="0.3">
      <c r="P25" s="32"/>
    </row>
    <row r="26" spans="16:16" ht="16.8" x14ac:dyDescent="0.3">
      <c r="P26" s="32"/>
    </row>
    <row r="27" spans="16:16" ht="16.8" x14ac:dyDescent="0.3">
      <c r="P27" s="32"/>
    </row>
    <row r="28" spans="16:16" ht="16.8" x14ac:dyDescent="0.3">
      <c r="P28" s="32"/>
    </row>
    <row r="29" spans="16:16" ht="16.8" x14ac:dyDescent="0.3">
      <c r="P29" s="32"/>
    </row>
    <row r="30" spans="16:16" ht="16.8" x14ac:dyDescent="0.3">
      <c r="P30" s="32"/>
    </row>
    <row r="31" spans="16:16" ht="16.8" x14ac:dyDescent="0.3">
      <c r="P31" s="32"/>
    </row>
    <row r="32" spans="16:16" ht="16.8" x14ac:dyDescent="0.3">
      <c r="P32" s="34"/>
    </row>
    <row r="33" spans="16:16" ht="16.8" x14ac:dyDescent="0.3">
      <c r="P33" s="32"/>
    </row>
    <row r="34" spans="16:16" ht="16.8" x14ac:dyDescent="0.3">
      <c r="P34" s="32"/>
    </row>
    <row r="35" spans="16:16" ht="16.8" x14ac:dyDescent="0.3">
      <c r="P35" s="32"/>
    </row>
    <row r="36" spans="16:16" ht="16.8" x14ac:dyDescent="0.3">
      <c r="P36" s="32"/>
    </row>
    <row r="37" spans="16:16" ht="16.8" x14ac:dyDescent="0.3">
      <c r="P37" s="32"/>
    </row>
    <row r="38" spans="16:16" ht="16.8" x14ac:dyDescent="0.3">
      <c r="P38" s="32"/>
    </row>
    <row r="39" spans="16:16" ht="16.8" x14ac:dyDescent="0.3">
      <c r="P39" s="32"/>
    </row>
    <row r="40" spans="16:16" ht="16.8" x14ac:dyDescent="0.3">
      <c r="P40" s="32"/>
    </row>
    <row r="41" spans="16:16" ht="16.8" x14ac:dyDescent="0.3">
      <c r="P41" s="32"/>
    </row>
    <row r="42" spans="16:16" ht="16.8" x14ac:dyDescent="0.3">
      <c r="P42" s="32"/>
    </row>
    <row r="43" spans="16:16" ht="16.8" x14ac:dyDescent="0.3">
      <c r="P43" s="32"/>
    </row>
    <row r="44" spans="16:16" ht="16.8" x14ac:dyDescent="0.3">
      <c r="P44" s="34"/>
    </row>
    <row r="45" spans="16:16" ht="16.8" x14ac:dyDescent="0.3">
      <c r="P45" s="32"/>
    </row>
    <row r="46" spans="16:16" ht="16.8" x14ac:dyDescent="0.3">
      <c r="P46" s="32"/>
    </row>
    <row r="47" spans="16:16" ht="16.8" x14ac:dyDescent="0.3">
      <c r="P47" s="32"/>
    </row>
    <row r="48" spans="16:16" ht="16.8" x14ac:dyDescent="0.3">
      <c r="P48" s="32"/>
    </row>
    <row r="49" spans="16:16" ht="16.8" x14ac:dyDescent="0.3">
      <c r="P49" s="32"/>
    </row>
    <row r="50" spans="16:16" ht="16.8" x14ac:dyDescent="0.3">
      <c r="P50" s="32"/>
    </row>
    <row r="51" spans="16:16" ht="16.8" x14ac:dyDescent="0.3">
      <c r="P51" s="32"/>
    </row>
    <row r="52" spans="16:16" ht="16.8" x14ac:dyDescent="0.3">
      <c r="P52" s="32"/>
    </row>
    <row r="53" spans="16:16" ht="16.8" x14ac:dyDescent="0.3">
      <c r="P53" s="32"/>
    </row>
    <row r="54" spans="16:16" ht="16.8" x14ac:dyDescent="0.3">
      <c r="P54" s="32"/>
    </row>
    <row r="55" spans="16:16" ht="16.8" x14ac:dyDescent="0.3">
      <c r="P55" s="32"/>
    </row>
    <row r="56" spans="16:16" ht="16.8" x14ac:dyDescent="0.3">
      <c r="P56" s="32"/>
    </row>
    <row r="57" spans="16:16" ht="16.8" x14ac:dyDescent="0.3">
      <c r="P57" s="32"/>
    </row>
    <row r="58" spans="16:16" ht="16.8" x14ac:dyDescent="0.3">
      <c r="P58" s="32"/>
    </row>
    <row r="59" spans="16:16" ht="16.8" x14ac:dyDescent="0.3">
      <c r="P59" s="32"/>
    </row>
    <row r="60" spans="16:16" ht="16.8" x14ac:dyDescent="0.3">
      <c r="P60" s="32"/>
    </row>
    <row r="61" spans="16:16" ht="16.8" x14ac:dyDescent="0.3">
      <c r="P61" s="32"/>
    </row>
    <row r="62" spans="16:16" ht="16.8" x14ac:dyDescent="0.3">
      <c r="P62" s="32"/>
    </row>
    <row r="63" spans="16:16" ht="16.8" x14ac:dyDescent="0.3">
      <c r="P63" s="32"/>
    </row>
    <row r="64" spans="16:16" ht="16.8" x14ac:dyDescent="0.3">
      <c r="P64" s="32"/>
    </row>
    <row r="65" spans="16:16" ht="16.8" x14ac:dyDescent="0.3">
      <c r="P65" s="32"/>
    </row>
    <row r="66" spans="16:16" ht="16.8" x14ac:dyDescent="0.3">
      <c r="P66" s="34"/>
    </row>
    <row r="67" spans="16:16" ht="16.8" x14ac:dyDescent="0.3">
      <c r="P67" s="32"/>
    </row>
    <row r="68" spans="16:16" ht="16.8" x14ac:dyDescent="0.3">
      <c r="P68" s="32"/>
    </row>
    <row r="69" spans="16:16" ht="16.8" x14ac:dyDescent="0.3">
      <c r="P69" s="32"/>
    </row>
    <row r="70" spans="16:16" ht="16.8" x14ac:dyDescent="0.3">
      <c r="P70" s="32"/>
    </row>
    <row r="71" spans="16:16" ht="16.8" x14ac:dyDescent="0.3">
      <c r="P71" s="32"/>
    </row>
    <row r="72" spans="16:16" ht="16.8" x14ac:dyDescent="0.3">
      <c r="P72" s="32"/>
    </row>
    <row r="73" spans="16:16" ht="16.8" x14ac:dyDescent="0.3">
      <c r="P73" s="32"/>
    </row>
    <row r="74" spans="16:16" ht="16.8" x14ac:dyDescent="0.3">
      <c r="P74" s="32"/>
    </row>
    <row r="75" spans="16:16" ht="16.8" x14ac:dyDescent="0.3">
      <c r="P75" s="32"/>
    </row>
    <row r="76" spans="16:16" ht="16.8" x14ac:dyDescent="0.3">
      <c r="P76" s="32"/>
    </row>
    <row r="77" spans="16:16" ht="16.8" x14ac:dyDescent="0.3">
      <c r="P77" s="34"/>
    </row>
    <row r="78" spans="16:16" ht="16.8" x14ac:dyDescent="0.3">
      <c r="P78" s="32"/>
    </row>
    <row r="79" spans="16:16" ht="16.8" x14ac:dyDescent="0.3">
      <c r="P79" s="32"/>
    </row>
    <row r="80" spans="16:16" ht="16.8" x14ac:dyDescent="0.3">
      <c r="P80" s="32"/>
    </row>
    <row r="81" spans="16:16" ht="16.8" x14ac:dyDescent="0.3">
      <c r="P81" s="32"/>
    </row>
    <row r="82" spans="16:16" ht="16.8" x14ac:dyDescent="0.3">
      <c r="P82" s="32"/>
    </row>
    <row r="83" spans="16:16" ht="16.8" x14ac:dyDescent="0.3">
      <c r="P83" s="32"/>
    </row>
    <row r="84" spans="16:16" ht="16.8" x14ac:dyDescent="0.3">
      <c r="P84" s="32"/>
    </row>
    <row r="85" spans="16:16" ht="16.8" x14ac:dyDescent="0.3">
      <c r="P85" s="32"/>
    </row>
    <row r="86" spans="16:16" ht="16.8" x14ac:dyDescent="0.3">
      <c r="P86" s="32"/>
    </row>
    <row r="87" spans="16:16" ht="16.8" x14ac:dyDescent="0.3">
      <c r="P87" s="32"/>
    </row>
    <row r="88" spans="16:16" ht="16.8" x14ac:dyDescent="0.3">
      <c r="P88" s="34"/>
    </row>
    <row r="89" spans="16:16" ht="16.8" x14ac:dyDescent="0.3">
      <c r="P89" s="32"/>
    </row>
    <row r="90" spans="16:16" ht="16.8" x14ac:dyDescent="0.3">
      <c r="P90" s="32"/>
    </row>
    <row r="91" spans="16:16" ht="16.8" x14ac:dyDescent="0.3">
      <c r="P91" s="32"/>
    </row>
    <row r="92" spans="16:16" ht="16.8" x14ac:dyDescent="0.3">
      <c r="P92" s="32"/>
    </row>
    <row r="93" spans="16:16" ht="16.8" x14ac:dyDescent="0.3">
      <c r="P93" s="32"/>
    </row>
    <row r="94" spans="16:16" ht="16.8" x14ac:dyDescent="0.3">
      <c r="P94" s="32"/>
    </row>
    <row r="95" spans="16:16" ht="16.8" x14ac:dyDescent="0.3">
      <c r="P95" s="32"/>
    </row>
    <row r="96" spans="16:16" ht="16.8" x14ac:dyDescent="0.3">
      <c r="P96" s="32"/>
    </row>
    <row r="97" spans="16:16" ht="16.8" x14ac:dyDescent="0.3">
      <c r="P97" s="32"/>
    </row>
    <row r="98" spans="16:16" ht="16.8" x14ac:dyDescent="0.3">
      <c r="P98" s="32"/>
    </row>
    <row r="99" spans="16:16" ht="16.8" x14ac:dyDescent="0.3">
      <c r="P99" s="34"/>
    </row>
    <row r="100" spans="16:16" ht="16.8" x14ac:dyDescent="0.3">
      <c r="P100" s="32"/>
    </row>
    <row r="101" spans="16:16" ht="16.8" x14ac:dyDescent="0.3">
      <c r="P101" s="32"/>
    </row>
    <row r="102" spans="16:16" ht="16.8" x14ac:dyDescent="0.3">
      <c r="P102" s="34"/>
    </row>
    <row r="103" spans="16:16" ht="16.8" x14ac:dyDescent="0.3">
      <c r="P103" s="32"/>
    </row>
    <row r="104" spans="16:16" ht="16.8" x14ac:dyDescent="0.3">
      <c r="P104" s="32"/>
    </row>
    <row r="105" spans="16:16" ht="16.8" x14ac:dyDescent="0.3">
      <c r="P105" s="32"/>
    </row>
    <row r="106" spans="16:16" ht="16.8" x14ac:dyDescent="0.3">
      <c r="P106" s="34"/>
    </row>
    <row r="107" spans="16:16" ht="16.8" x14ac:dyDescent="0.3">
      <c r="P107" s="32"/>
    </row>
    <row r="108" spans="16:16" ht="16.8" x14ac:dyDescent="0.3">
      <c r="P108" s="32"/>
    </row>
    <row r="109" spans="16:16" ht="16.8" x14ac:dyDescent="0.3">
      <c r="P109" s="32"/>
    </row>
    <row r="110" spans="16:16" ht="16.8" x14ac:dyDescent="0.3">
      <c r="P110" s="32"/>
    </row>
    <row r="111" spans="16:16" ht="16.8" x14ac:dyDescent="0.3">
      <c r="P111" s="32"/>
    </row>
    <row r="112" spans="16:16" ht="16.8" x14ac:dyDescent="0.3">
      <c r="P112" s="32"/>
    </row>
    <row r="113" spans="16:16" ht="16.8" x14ac:dyDescent="0.3">
      <c r="P113" s="32"/>
    </row>
    <row r="114" spans="16:16" ht="16.8" x14ac:dyDescent="0.3">
      <c r="P114" s="32"/>
    </row>
    <row r="115" spans="16:16" ht="16.8" x14ac:dyDescent="0.3">
      <c r="P115" s="32"/>
    </row>
    <row r="116" spans="16:16" ht="16.8" x14ac:dyDescent="0.3">
      <c r="P116" s="32"/>
    </row>
    <row r="117" spans="16:16" ht="16.8" x14ac:dyDescent="0.3">
      <c r="P117" s="32"/>
    </row>
    <row r="118" spans="16:16" ht="16.8" x14ac:dyDescent="0.3">
      <c r="P118" s="34"/>
    </row>
    <row r="119" spans="16:16" ht="16.8" x14ac:dyDescent="0.3">
      <c r="P119" s="32"/>
    </row>
    <row r="120" spans="16:16" ht="16.8" x14ac:dyDescent="0.3">
      <c r="P120" s="32"/>
    </row>
    <row r="121" spans="16:16" ht="16.8" x14ac:dyDescent="0.3">
      <c r="P121" s="32"/>
    </row>
    <row r="122" spans="16:16" ht="16.8" x14ac:dyDescent="0.3">
      <c r="P122" s="32"/>
    </row>
    <row r="123" spans="16:16" ht="16.8" x14ac:dyDescent="0.3">
      <c r="P123" s="32"/>
    </row>
    <row r="124" spans="16:16" ht="16.8" x14ac:dyDescent="0.3">
      <c r="P124" s="32"/>
    </row>
    <row r="125" spans="16:16" ht="16.8" x14ac:dyDescent="0.3">
      <c r="P125" s="32"/>
    </row>
    <row r="126" spans="16:16" ht="16.8" x14ac:dyDescent="0.3">
      <c r="P126" s="32"/>
    </row>
    <row r="127" spans="16:16" ht="16.8" x14ac:dyDescent="0.3">
      <c r="P127" s="32"/>
    </row>
    <row r="128" spans="16:16" ht="16.8" x14ac:dyDescent="0.3">
      <c r="P128" s="32"/>
    </row>
    <row r="129" spans="16:16" ht="16.8" x14ac:dyDescent="0.3">
      <c r="P129" s="32"/>
    </row>
    <row r="130" spans="16:16" ht="16.8" x14ac:dyDescent="0.3">
      <c r="P130" s="34"/>
    </row>
    <row r="131" spans="16:16" ht="16.8" x14ac:dyDescent="0.3">
      <c r="P131" s="32"/>
    </row>
    <row r="132" spans="16:16" ht="16.8" x14ac:dyDescent="0.3">
      <c r="P132" s="32"/>
    </row>
    <row r="133" spans="16:16" ht="16.8" x14ac:dyDescent="0.3">
      <c r="P133" s="32"/>
    </row>
    <row r="134" spans="16:16" ht="16.8" x14ac:dyDescent="0.3">
      <c r="P134" s="32"/>
    </row>
    <row r="135" spans="16:16" ht="16.8" x14ac:dyDescent="0.3">
      <c r="P135" s="32"/>
    </row>
    <row r="136" spans="16:16" ht="16.8" x14ac:dyDescent="0.3">
      <c r="P136" s="32"/>
    </row>
    <row r="137" spans="16:16" ht="16.8" x14ac:dyDescent="0.3">
      <c r="P137" s="32"/>
    </row>
    <row r="138" spans="16:16" ht="16.8" x14ac:dyDescent="0.3">
      <c r="P138" s="32"/>
    </row>
    <row r="139" spans="16:16" ht="16.8" x14ac:dyDescent="0.3">
      <c r="P139" s="32"/>
    </row>
    <row r="140" spans="16:16" ht="16.8" x14ac:dyDescent="0.3">
      <c r="P140" s="32"/>
    </row>
    <row r="141" spans="16:16" ht="16.8" x14ac:dyDescent="0.3">
      <c r="P141" s="32"/>
    </row>
    <row r="142" spans="16:16" ht="16.8" x14ac:dyDescent="0.3">
      <c r="P142" s="32"/>
    </row>
    <row r="143" spans="16:16" ht="16.8" x14ac:dyDescent="0.3">
      <c r="P143" s="32"/>
    </row>
    <row r="144" spans="16:16" ht="16.8" x14ac:dyDescent="0.3">
      <c r="P144" s="32"/>
    </row>
    <row r="145" spans="16:16" ht="16.8" x14ac:dyDescent="0.3">
      <c r="P145" s="32"/>
    </row>
    <row r="146" spans="16:16" ht="16.8" x14ac:dyDescent="0.3">
      <c r="P146" s="32"/>
    </row>
    <row r="147" spans="16:16" ht="16.8" x14ac:dyDescent="0.3">
      <c r="P147" s="32"/>
    </row>
    <row r="148" spans="16:16" ht="16.8" x14ac:dyDescent="0.3">
      <c r="P148" s="32"/>
    </row>
    <row r="149" spans="16:16" ht="16.8" x14ac:dyDescent="0.3">
      <c r="P149" s="32"/>
    </row>
    <row r="150" spans="16:16" ht="16.8" x14ac:dyDescent="0.3">
      <c r="P150" s="32"/>
    </row>
    <row r="151" spans="16:16" ht="16.8" x14ac:dyDescent="0.3">
      <c r="P151" s="32"/>
    </row>
    <row r="152" spans="16:16" x14ac:dyDescent="0.3">
      <c r="P152" s="98"/>
    </row>
    <row r="153" spans="16:16" x14ac:dyDescent="0.3">
      <c r="P153" s="98"/>
    </row>
    <row r="154" spans="16:16" ht="16.8" x14ac:dyDescent="0.3">
      <c r="P154" s="34"/>
    </row>
    <row r="155" spans="16:16" ht="16.8" x14ac:dyDescent="0.3">
      <c r="P155" s="34"/>
    </row>
    <row r="156" spans="16:16" ht="16.8" x14ac:dyDescent="0.3">
      <c r="P156" s="34"/>
    </row>
    <row r="157" spans="16:16" ht="16.8" x14ac:dyDescent="0.3">
      <c r="P157" s="34"/>
    </row>
    <row r="158" spans="16:16" ht="16.8" x14ac:dyDescent="0.3">
      <c r="P158" s="34"/>
    </row>
    <row r="159" spans="16:16" ht="16.8" x14ac:dyDescent="0.3">
      <c r="P159" s="34"/>
    </row>
    <row r="160" spans="16:16" ht="16.8" x14ac:dyDescent="0.3">
      <c r="P160" s="34"/>
    </row>
    <row r="161" spans="16:16" ht="16.8" x14ac:dyDescent="0.3">
      <c r="P161" s="34"/>
    </row>
    <row r="162" spans="16:16" ht="16.8" x14ac:dyDescent="0.3">
      <c r="P162" s="34"/>
    </row>
    <row r="163" spans="16:16" ht="16.8" x14ac:dyDescent="0.3">
      <c r="P163" s="34"/>
    </row>
    <row r="164" spans="16:16" ht="16.8" x14ac:dyDescent="0.3">
      <c r="P164" s="34"/>
    </row>
    <row r="165" spans="16:16" ht="16.8" x14ac:dyDescent="0.3">
      <c r="P165" s="35"/>
    </row>
    <row r="166" spans="16:16" ht="16.8" x14ac:dyDescent="0.3">
      <c r="P166" s="32"/>
    </row>
    <row r="167" spans="16:16" ht="16.8" x14ac:dyDescent="0.3">
      <c r="P167" s="32"/>
    </row>
    <row r="168" spans="16:16" ht="16.8" x14ac:dyDescent="0.3">
      <c r="P168" s="32"/>
    </row>
    <row r="169" spans="16:16" ht="16.8" x14ac:dyDescent="0.3">
      <c r="P169" s="32"/>
    </row>
    <row r="170" spans="16:16" ht="16.8" x14ac:dyDescent="0.3">
      <c r="P170" s="32"/>
    </row>
    <row r="171" spans="16:16" ht="16.8" x14ac:dyDescent="0.3">
      <c r="P171" s="32"/>
    </row>
    <row r="172" spans="16:16" ht="16.8" x14ac:dyDescent="0.3">
      <c r="P172" s="32"/>
    </row>
    <row r="173" spans="16:16" ht="16.8" x14ac:dyDescent="0.3">
      <c r="P173" s="32"/>
    </row>
    <row r="174" spans="16:16" ht="16.8" x14ac:dyDescent="0.3">
      <c r="P174" s="32"/>
    </row>
    <row r="175" spans="16:16" ht="16.8" x14ac:dyDescent="0.3">
      <c r="P175" s="32"/>
    </row>
    <row r="176" spans="16:16" ht="16.8" x14ac:dyDescent="0.3">
      <c r="P176" s="34"/>
    </row>
    <row r="177" spans="16:16" ht="16.8" x14ac:dyDescent="0.3">
      <c r="P177" s="32"/>
    </row>
    <row r="178" spans="16:16" ht="16.8" x14ac:dyDescent="0.3">
      <c r="P178" s="32"/>
    </row>
    <row r="179" spans="16:16" ht="16.8" x14ac:dyDescent="0.3">
      <c r="P179" s="32"/>
    </row>
    <row r="180" spans="16:16" ht="16.8" x14ac:dyDescent="0.3">
      <c r="P180" s="32"/>
    </row>
    <row r="181" spans="16:16" ht="16.8" x14ac:dyDescent="0.3">
      <c r="P181" s="33"/>
    </row>
    <row r="182" spans="16:16" ht="16.8" x14ac:dyDescent="0.3">
      <c r="P182" s="33"/>
    </row>
    <row r="183" spans="16:16" ht="16.8" x14ac:dyDescent="0.3">
      <c r="P183" s="33"/>
    </row>
    <row r="184" spans="16:16" ht="16.8" x14ac:dyDescent="0.3">
      <c r="P184" s="32"/>
    </row>
    <row r="185" spans="16:16" ht="16.8" x14ac:dyDescent="0.3">
      <c r="P185" s="32"/>
    </row>
    <row r="186" spans="16:16" ht="16.8" x14ac:dyDescent="0.3">
      <c r="P186" s="32"/>
    </row>
    <row r="187" spans="16:16" ht="16.8" x14ac:dyDescent="0.3">
      <c r="P187" s="34"/>
    </row>
    <row r="188" spans="16:16" ht="16.8" x14ac:dyDescent="0.3">
      <c r="P188" s="32"/>
    </row>
    <row r="189" spans="16:16" ht="16.8" x14ac:dyDescent="0.3">
      <c r="P189" s="32"/>
    </row>
    <row r="190" spans="16:16" ht="16.8" x14ac:dyDescent="0.3">
      <c r="P190" s="34"/>
    </row>
    <row r="191" spans="16:16" ht="16.8" x14ac:dyDescent="0.3">
      <c r="P191" s="32"/>
    </row>
    <row r="192" spans="16:16" ht="16.8" x14ac:dyDescent="0.3">
      <c r="P192" s="32"/>
    </row>
    <row r="193" spans="16:16" ht="16.8" x14ac:dyDescent="0.3">
      <c r="P193" s="32"/>
    </row>
    <row r="194" spans="16:16" ht="16.8" x14ac:dyDescent="0.3">
      <c r="P194" s="34"/>
    </row>
    <row r="195" spans="16:16" ht="16.8" x14ac:dyDescent="0.3">
      <c r="P195" s="32"/>
    </row>
    <row r="196" spans="16:16" ht="16.8" x14ac:dyDescent="0.3">
      <c r="P196" s="32"/>
    </row>
    <row r="197" spans="16:16" ht="16.8" x14ac:dyDescent="0.3">
      <c r="P197" s="32"/>
    </row>
    <row r="198" spans="16:16" ht="16.8" x14ac:dyDescent="0.3">
      <c r="P198" s="32"/>
    </row>
    <row r="199" spans="16:16" ht="16.8" x14ac:dyDescent="0.3">
      <c r="P199" s="32"/>
    </row>
    <row r="200" spans="16:16" ht="16.8" x14ac:dyDescent="0.3">
      <c r="P200" s="32"/>
    </row>
    <row r="201" spans="16:16" ht="16.8" x14ac:dyDescent="0.3">
      <c r="P201" s="32"/>
    </row>
    <row r="202" spans="16:16" ht="16.8" x14ac:dyDescent="0.3">
      <c r="P202" s="32"/>
    </row>
    <row r="203" spans="16:16" ht="16.8" x14ac:dyDescent="0.3">
      <c r="P203" s="32"/>
    </row>
    <row r="204" spans="16:16" ht="16.8" x14ac:dyDescent="0.3">
      <c r="P204" s="34"/>
    </row>
    <row r="205" spans="16:16" ht="16.8" x14ac:dyDescent="0.3">
      <c r="P205" s="32"/>
    </row>
    <row r="206" spans="16:16" ht="16.8" x14ac:dyDescent="0.3">
      <c r="P206" s="32"/>
    </row>
    <row r="207" spans="16:16" ht="16.8" x14ac:dyDescent="0.3">
      <c r="P207" s="32"/>
    </row>
    <row r="208" spans="16:16" ht="16.8" x14ac:dyDescent="0.3">
      <c r="P208" s="32"/>
    </row>
    <row r="209" spans="16:16" ht="16.8" x14ac:dyDescent="0.3">
      <c r="P209" s="32"/>
    </row>
    <row r="210" spans="16:16" ht="16.8" x14ac:dyDescent="0.3">
      <c r="P210" s="32"/>
    </row>
    <row r="211" spans="16:16" ht="16.8" x14ac:dyDescent="0.3">
      <c r="P211" s="32"/>
    </row>
    <row r="212" spans="16:16" ht="16.8" x14ac:dyDescent="0.3">
      <c r="P212" s="32"/>
    </row>
    <row r="213" spans="16:16" ht="16.8" x14ac:dyDescent="0.3">
      <c r="P213" s="32"/>
    </row>
    <row r="214" spans="16:16" ht="16.8" x14ac:dyDescent="0.3">
      <c r="P214" s="34"/>
    </row>
    <row r="215" spans="16:16" ht="16.8" x14ac:dyDescent="0.3">
      <c r="P215" s="34"/>
    </row>
    <row r="216" spans="16:16" ht="16.8" x14ac:dyDescent="0.3">
      <c r="P216" s="34"/>
    </row>
    <row r="217" spans="16:16" ht="16.8" x14ac:dyDescent="0.3">
      <c r="P217" s="32"/>
    </row>
    <row r="218" spans="16:16" ht="16.8" x14ac:dyDescent="0.3">
      <c r="P218" s="32"/>
    </row>
    <row r="219" spans="16:16" ht="16.8" x14ac:dyDescent="0.3">
      <c r="P219" s="32"/>
    </row>
    <row r="220" spans="16:16" ht="16.8" x14ac:dyDescent="0.3">
      <c r="P220" s="32"/>
    </row>
    <row r="221" spans="16:16" ht="16.8" x14ac:dyDescent="0.3">
      <c r="P221" s="32"/>
    </row>
    <row r="222" spans="16:16" ht="16.8" x14ac:dyDescent="0.3">
      <c r="P222" s="32"/>
    </row>
    <row r="223" spans="16:16" ht="16.8" x14ac:dyDescent="0.3">
      <c r="P223" s="32"/>
    </row>
    <row r="224" spans="16:16" ht="16.8" x14ac:dyDescent="0.3">
      <c r="P224" s="32"/>
    </row>
    <row r="225" spans="16:16" ht="16.8" x14ac:dyDescent="0.3">
      <c r="P225" s="32"/>
    </row>
    <row r="226" spans="16:16" ht="16.8" x14ac:dyDescent="0.3">
      <c r="P226" s="32"/>
    </row>
    <row r="227" spans="16:16" ht="16.8" x14ac:dyDescent="0.3">
      <c r="P227" s="32"/>
    </row>
    <row r="228" spans="16:16" ht="16.8" x14ac:dyDescent="0.3">
      <c r="P228" s="32"/>
    </row>
    <row r="229" spans="16:16" ht="16.8" x14ac:dyDescent="0.3">
      <c r="P229" s="32"/>
    </row>
    <row r="230" spans="16:16" ht="16.8" x14ac:dyDescent="0.3">
      <c r="P230" s="32"/>
    </row>
    <row r="231" spans="16:16" ht="16.8" x14ac:dyDescent="0.3">
      <c r="P231" s="32"/>
    </row>
    <row r="232" spans="16:16" ht="16.8" x14ac:dyDescent="0.3">
      <c r="P232" s="34"/>
    </row>
    <row r="233" spans="16:16" ht="16.8" x14ac:dyDescent="0.3">
      <c r="P233" s="32"/>
    </row>
    <row r="234" spans="16:16" ht="16.8" x14ac:dyDescent="0.3">
      <c r="P234" s="32"/>
    </row>
    <row r="235" spans="16:16" ht="16.8" x14ac:dyDescent="0.3">
      <c r="P235" s="32"/>
    </row>
    <row r="236" spans="16:16" ht="16.8" x14ac:dyDescent="0.3">
      <c r="P236" s="32"/>
    </row>
    <row r="237" spans="16:16" ht="16.8" x14ac:dyDescent="0.3">
      <c r="P237" s="32"/>
    </row>
    <row r="238" spans="16:16" ht="16.8" x14ac:dyDescent="0.3">
      <c r="P238" s="32"/>
    </row>
    <row r="239" spans="16:16" ht="16.8" x14ac:dyDescent="0.3">
      <c r="P239" s="32"/>
    </row>
    <row r="240" spans="16:16" ht="16.8" x14ac:dyDescent="0.3">
      <c r="P240" s="32"/>
    </row>
    <row r="241" spans="16:16" ht="16.8" x14ac:dyDescent="0.3">
      <c r="P241" s="34"/>
    </row>
    <row r="242" spans="16:16" ht="16.8" x14ac:dyDescent="0.3">
      <c r="P242" s="32"/>
    </row>
    <row r="243" spans="16:16" ht="16.8" x14ac:dyDescent="0.3">
      <c r="P243" s="32"/>
    </row>
    <row r="244" spans="16:16" ht="16.8" x14ac:dyDescent="0.3">
      <c r="P244" s="32"/>
    </row>
    <row r="245" spans="16:16" ht="16.8" x14ac:dyDescent="0.3">
      <c r="P245" s="32"/>
    </row>
    <row r="246" spans="16:16" ht="16.8" x14ac:dyDescent="0.3">
      <c r="P246" s="32"/>
    </row>
    <row r="247" spans="16:16" ht="16.8" x14ac:dyDescent="0.3">
      <c r="P247" s="32"/>
    </row>
    <row r="248" spans="16:16" ht="16.8" x14ac:dyDescent="0.3">
      <c r="P248" s="32"/>
    </row>
    <row r="249" spans="16:16" ht="16.8" x14ac:dyDescent="0.3">
      <c r="P249" s="32"/>
    </row>
    <row r="250" spans="16:16" ht="16.8" x14ac:dyDescent="0.3">
      <c r="P250" s="34"/>
    </row>
    <row r="251" spans="16:16" ht="16.8" x14ac:dyDescent="0.3">
      <c r="P251" s="32"/>
    </row>
    <row r="252" spans="16:16" ht="16.8" x14ac:dyDescent="0.3">
      <c r="P252" s="32"/>
    </row>
    <row r="253" spans="16:16" ht="16.8" x14ac:dyDescent="0.3">
      <c r="P253" s="32"/>
    </row>
    <row r="254" spans="16:16" ht="16.8" x14ac:dyDescent="0.3">
      <c r="P254" s="32"/>
    </row>
    <row r="255" spans="16:16" ht="16.8" x14ac:dyDescent="0.3">
      <c r="P255" s="32"/>
    </row>
    <row r="256" spans="16:16" ht="16.8" x14ac:dyDescent="0.3">
      <c r="P256" s="32"/>
    </row>
    <row r="257" spans="16:16" ht="16.8" x14ac:dyDescent="0.3">
      <c r="P257" s="32"/>
    </row>
    <row r="258" spans="16:16" ht="16.8" x14ac:dyDescent="0.3">
      <c r="P258" s="32"/>
    </row>
    <row r="259" spans="16:16" ht="16.8" x14ac:dyDescent="0.3">
      <c r="P259" s="34"/>
    </row>
    <row r="260" spans="16:16" ht="16.8" x14ac:dyDescent="0.3">
      <c r="P260" s="32"/>
    </row>
    <row r="261" spans="16:16" ht="16.8" x14ac:dyDescent="0.3">
      <c r="P261" s="32"/>
    </row>
    <row r="262" spans="16:16" ht="16.8" x14ac:dyDescent="0.3">
      <c r="P262" s="34"/>
    </row>
    <row r="263" spans="16:16" ht="16.8" x14ac:dyDescent="0.3">
      <c r="P263" s="34"/>
    </row>
  </sheetData>
  <mergeCells count="9">
    <mergeCell ref="P152:P153"/>
    <mergeCell ref="E10:F10"/>
    <mergeCell ref="A1:K1"/>
    <mergeCell ref="A2:A3"/>
    <mergeCell ref="B2:C2"/>
    <mergeCell ref="D2:E2"/>
    <mergeCell ref="F2:G2"/>
    <mergeCell ref="H2:I2"/>
    <mergeCell ref="J2:K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phu0789447975@gmail.com</cp:lastModifiedBy>
  <dcterms:created xsi:type="dcterms:W3CDTF">2021-04-23T08:05:10Z</dcterms:created>
  <dcterms:modified xsi:type="dcterms:W3CDTF">2026-05-12T07:05:45Z</dcterms:modified>
</cp:coreProperties>
</file>